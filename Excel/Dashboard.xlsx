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a09bbba5b02b84c/Desktop/Sales-Revenue-Analysis-Dashboard/Dashboard/"/>
    </mc:Choice>
  </mc:AlternateContent>
  <xr:revisionPtr revIDLastSave="0" documentId="8_{FBAF9E74-3B76-4AF6-95D5-2A264A87AAD7}" xr6:coauthVersionLast="47" xr6:coauthVersionMax="47" xr10:uidLastSave="{00000000-0000-0000-0000-000000000000}"/>
  <bookViews>
    <workbookView xWindow="-108" yWindow="-108" windowWidth="23256" windowHeight="12456" activeTab="1" xr2:uid="{00000000-000D-0000-FFFF-FFFF00000000}"/>
  </bookViews>
  <sheets>
    <sheet name="Sales_Data" sheetId="1" r:id="rId1"/>
    <sheet name="Dashboard" sheetId="2" r:id="rId2"/>
  </sheets>
  <definedNames>
    <definedName name="Slicer_Category">#N/A</definedName>
    <definedName name="Slicer_Product">#N/A</definedName>
    <definedName name="Slicer_Region">#N/A</definedName>
  </definedNames>
  <calcPr calcId="191029"/>
  <pivotCaches>
    <pivotCache cacheId="29"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 l="1"/>
  <c r="A4" i="2"/>
  <c r="I4" i="2"/>
  <c r="M4" i="2" l="1"/>
</calcChain>
</file>

<file path=xl/sharedStrings.xml><?xml version="1.0" encoding="utf-8"?>
<sst xmlns="http://schemas.openxmlformats.org/spreadsheetml/2006/main" count="963" uniqueCount="42">
  <si>
    <t>Order ID</t>
  </si>
  <si>
    <t>Date</t>
  </si>
  <si>
    <t>Product</t>
  </si>
  <si>
    <t>Category</t>
  </si>
  <si>
    <t>Region</t>
  </si>
  <si>
    <t>Quantity</t>
  </si>
  <si>
    <t>Price</t>
  </si>
  <si>
    <t>Revenue</t>
  </si>
  <si>
    <t>Printer</t>
  </si>
  <si>
    <t>Office</t>
  </si>
  <si>
    <t>West</t>
  </si>
  <si>
    <t>Monitor</t>
  </si>
  <si>
    <t>Electronics</t>
  </si>
  <si>
    <t>South</t>
  </si>
  <si>
    <t>Headphones</t>
  </si>
  <si>
    <t>North</t>
  </si>
  <si>
    <t>Keyboard</t>
  </si>
  <si>
    <t>Accessories</t>
  </si>
  <si>
    <t>Laptop</t>
  </si>
  <si>
    <t>Webcam</t>
  </si>
  <si>
    <t>East</t>
  </si>
  <si>
    <t>Chair</t>
  </si>
  <si>
    <t>Furniture</t>
  </si>
  <si>
    <t>Notebook</t>
  </si>
  <si>
    <t>Mouse</t>
  </si>
  <si>
    <t>Table</t>
  </si>
  <si>
    <t>Row Labels</t>
  </si>
  <si>
    <t>Grand Total</t>
  </si>
  <si>
    <t>Sum of Revenue</t>
  </si>
  <si>
    <t>2026</t>
  </si>
  <si>
    <t>Jan</t>
  </si>
  <si>
    <t>Feb</t>
  </si>
  <si>
    <t>Mar</t>
  </si>
  <si>
    <t>Apr</t>
  </si>
  <si>
    <t>May</t>
  </si>
  <si>
    <t>Jun</t>
  </si>
  <si>
    <t>Sum of Quantity</t>
  </si>
  <si>
    <t>Sales And Revenue Analysis Dashboard</t>
  </si>
  <si>
    <t>Total Revenue</t>
  </si>
  <si>
    <t>Total Orders</t>
  </si>
  <si>
    <t>Total Quantity</t>
  </si>
  <si>
    <t>Average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</si>
</sst>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b/>
      <sz val="22"/>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6"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[Dashboard.xlsx]Sales_Data!Revenue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Sales_Data!$K$2</c:f>
              <c:strCache>
                <c:ptCount val="1"/>
                <c:pt idx="0">
                  <c:v>Total</c:v>
                </c:pt>
              </c:strCache>
            </c:strRef>
          </c:tx>
          <c:spPr>
            <a:solidFill>
              <a:schemeClr val="accent1"/>
            </a:solidFill>
            <a:ln>
              <a:noFill/>
            </a:ln>
            <a:effectLst/>
          </c:spPr>
          <c:invertIfNegative val="0"/>
          <c:cat>
            <c:strRef>
              <c:f>Sales_Data!$J$3:$J$13</c:f>
              <c:strCache>
                <c:ptCount val="10"/>
                <c:pt idx="0">
                  <c:v>Chair</c:v>
                </c:pt>
                <c:pt idx="1">
                  <c:v>Headphones</c:v>
                </c:pt>
                <c:pt idx="2">
                  <c:v>Keyboard</c:v>
                </c:pt>
                <c:pt idx="3">
                  <c:v>Laptop</c:v>
                </c:pt>
                <c:pt idx="4">
                  <c:v>Monitor</c:v>
                </c:pt>
                <c:pt idx="5">
                  <c:v>Mouse</c:v>
                </c:pt>
                <c:pt idx="6">
                  <c:v>Notebook</c:v>
                </c:pt>
                <c:pt idx="7">
                  <c:v>Printer</c:v>
                </c:pt>
                <c:pt idx="8">
                  <c:v>Table</c:v>
                </c:pt>
                <c:pt idx="9">
                  <c:v>Webcam</c:v>
                </c:pt>
              </c:strCache>
            </c:strRef>
          </c:cat>
          <c:val>
            <c:numRef>
              <c:f>Sales_Data!$K$3:$K$13</c:f>
              <c:numCache>
                <c:formatCode>General</c:formatCode>
                <c:ptCount val="10"/>
                <c:pt idx="0">
                  <c:v>711000</c:v>
                </c:pt>
                <c:pt idx="1">
                  <c:v>347500</c:v>
                </c:pt>
                <c:pt idx="2">
                  <c:v>189600</c:v>
                </c:pt>
                <c:pt idx="3">
                  <c:v>7550000</c:v>
                </c:pt>
                <c:pt idx="4">
                  <c:v>1335000</c:v>
                </c:pt>
                <c:pt idx="5">
                  <c:v>50400</c:v>
                </c:pt>
                <c:pt idx="6">
                  <c:v>15600</c:v>
                </c:pt>
                <c:pt idx="7">
                  <c:v>2754000</c:v>
                </c:pt>
                <c:pt idx="8">
                  <c:v>864000</c:v>
                </c:pt>
                <c:pt idx="9">
                  <c:v>432000</c:v>
                </c:pt>
              </c:numCache>
            </c:numRef>
          </c:val>
          <c:extLst>
            <c:ext xmlns:c16="http://schemas.microsoft.com/office/drawing/2014/chart" uri="{C3380CC4-5D6E-409C-BE32-E72D297353CC}">
              <c16:uniqueId val="{00000000-6318-4EF0-BAF7-B615F6220093}"/>
            </c:ext>
          </c:extLst>
        </c:ser>
        <c:dLbls>
          <c:showLegendKey val="0"/>
          <c:showVal val="0"/>
          <c:showCatName val="0"/>
          <c:showSerName val="0"/>
          <c:showPercent val="0"/>
          <c:showBubbleSize val="0"/>
        </c:dLbls>
        <c:gapWidth val="182"/>
        <c:axId val="1873697376"/>
        <c:axId val="1857495248"/>
      </c:barChart>
      <c:catAx>
        <c:axId val="187369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495248"/>
        <c:crosses val="autoZero"/>
        <c:auto val="1"/>
        <c:lblAlgn val="ctr"/>
        <c:lblOffset val="100"/>
        <c:noMultiLvlLbl val="0"/>
      </c:catAx>
      <c:valAx>
        <c:axId val="1857495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69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[Dashboard.xlsx]Sales_Data!Revenue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Sales_Data!$N$2</c:f>
              <c:strCache>
                <c:ptCount val="1"/>
                <c:pt idx="0">
                  <c:v>Total</c:v>
                </c:pt>
              </c:strCache>
            </c:strRef>
          </c:tx>
          <c:spPr>
            <a:solidFill>
              <a:schemeClr val="accent1"/>
            </a:solidFill>
            <a:ln>
              <a:noFill/>
            </a:ln>
            <a:effectLst/>
          </c:spPr>
          <c:invertIfNegative val="0"/>
          <c:cat>
            <c:strRef>
              <c:f>Sales_Data!$M$3:$M$7</c:f>
              <c:strCache>
                <c:ptCount val="4"/>
                <c:pt idx="0">
                  <c:v>East</c:v>
                </c:pt>
                <c:pt idx="1">
                  <c:v>North</c:v>
                </c:pt>
                <c:pt idx="2">
                  <c:v>South</c:v>
                </c:pt>
                <c:pt idx="3">
                  <c:v>West</c:v>
                </c:pt>
              </c:strCache>
            </c:strRef>
          </c:cat>
          <c:val>
            <c:numRef>
              <c:f>Sales_Data!$N$3:$N$7</c:f>
              <c:numCache>
                <c:formatCode>General</c:formatCode>
                <c:ptCount val="4"/>
                <c:pt idx="0">
                  <c:v>3081960</c:v>
                </c:pt>
                <c:pt idx="1">
                  <c:v>3415740</c:v>
                </c:pt>
                <c:pt idx="2">
                  <c:v>4001380</c:v>
                </c:pt>
                <c:pt idx="3">
                  <c:v>3750020</c:v>
                </c:pt>
              </c:numCache>
            </c:numRef>
          </c:val>
          <c:extLst>
            <c:ext xmlns:c16="http://schemas.microsoft.com/office/drawing/2014/chart" uri="{C3380CC4-5D6E-409C-BE32-E72D297353CC}">
              <c16:uniqueId val="{00000000-55B2-4102-96C8-9C4A2A0194EF}"/>
            </c:ext>
          </c:extLst>
        </c:ser>
        <c:dLbls>
          <c:showLegendKey val="0"/>
          <c:showVal val="0"/>
          <c:showCatName val="0"/>
          <c:showSerName val="0"/>
          <c:showPercent val="0"/>
          <c:showBubbleSize val="0"/>
        </c:dLbls>
        <c:gapWidth val="219"/>
        <c:overlap val="-27"/>
        <c:axId val="1873785936"/>
        <c:axId val="1952221872"/>
      </c:barChart>
      <c:catAx>
        <c:axId val="18737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21872"/>
        <c:crosses val="autoZero"/>
        <c:auto val="1"/>
        <c:lblAlgn val="ctr"/>
        <c:lblOffset val="100"/>
        <c:noMultiLvlLbl val="0"/>
      </c:catAx>
      <c:valAx>
        <c:axId val="195222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7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[Dashboard.xlsx]Sales_Data!Revenue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Sales_Data!$K$16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7E-4205-A3B5-7755449B7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7E-4205-A3B5-7755449B7F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7E-4205-A3B5-7755449B7F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7E-4205-A3B5-7755449B7F66}"/>
              </c:ext>
            </c:extLst>
          </c:dPt>
          <c:cat>
            <c:strRef>
              <c:f>Sales_Data!$J$17:$J$21</c:f>
              <c:strCache>
                <c:ptCount val="4"/>
                <c:pt idx="0">
                  <c:v>Accessories</c:v>
                </c:pt>
                <c:pt idx="1">
                  <c:v>Electronics</c:v>
                </c:pt>
                <c:pt idx="2">
                  <c:v>Furniture</c:v>
                </c:pt>
                <c:pt idx="3">
                  <c:v>Office</c:v>
                </c:pt>
              </c:strCache>
            </c:strRef>
          </c:cat>
          <c:val>
            <c:numRef>
              <c:f>Sales_Data!$K$17:$K$21</c:f>
              <c:numCache>
                <c:formatCode>General</c:formatCode>
                <c:ptCount val="4"/>
                <c:pt idx="0">
                  <c:v>240000</c:v>
                </c:pt>
                <c:pt idx="1">
                  <c:v>9664500</c:v>
                </c:pt>
                <c:pt idx="2">
                  <c:v>1575000</c:v>
                </c:pt>
                <c:pt idx="3">
                  <c:v>2769600</c:v>
                </c:pt>
              </c:numCache>
            </c:numRef>
          </c:val>
          <c:extLst>
            <c:ext xmlns:c16="http://schemas.microsoft.com/office/drawing/2014/chart" uri="{C3380CC4-5D6E-409C-BE32-E72D297353CC}">
              <c16:uniqueId val="{00000008-2D7E-4205-A3B5-7755449B7F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[Dashboard.xlsx]Sales_Data!Monthly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Sales_Data!$N$10</c:f>
              <c:strCache>
                <c:ptCount val="1"/>
                <c:pt idx="0">
                  <c:v>Total</c:v>
                </c:pt>
              </c:strCache>
            </c:strRef>
          </c:tx>
          <c:spPr>
            <a:ln w="28575" cap="rnd">
              <a:solidFill>
                <a:schemeClr val="accent1"/>
              </a:solidFill>
              <a:round/>
            </a:ln>
            <a:effectLst/>
          </c:spPr>
          <c:marker>
            <c:symbol val="none"/>
          </c:marker>
          <c:cat>
            <c:multiLvlStrRef>
              <c:f>Sales_Data!$M$11:$M$18</c:f>
              <c:multiLvlStrCache>
                <c:ptCount val="6"/>
                <c:lvl>
                  <c:pt idx="0">
                    <c:v>Jan</c:v>
                  </c:pt>
                  <c:pt idx="1">
                    <c:v>Feb</c:v>
                  </c:pt>
                  <c:pt idx="2">
                    <c:v>Mar</c:v>
                  </c:pt>
                  <c:pt idx="3">
                    <c:v>Apr</c:v>
                  </c:pt>
                  <c:pt idx="4">
                    <c:v>May</c:v>
                  </c:pt>
                  <c:pt idx="5">
                    <c:v>Jun</c:v>
                  </c:pt>
                </c:lvl>
                <c:lvl>
                  <c:pt idx="0">
                    <c:v>2026</c:v>
                  </c:pt>
                </c:lvl>
              </c:multiLvlStrCache>
            </c:multiLvlStrRef>
          </c:cat>
          <c:val>
            <c:numRef>
              <c:f>Sales_Data!$N$11:$N$18</c:f>
              <c:numCache>
                <c:formatCode>General</c:formatCode>
                <c:ptCount val="6"/>
                <c:pt idx="0">
                  <c:v>2423560</c:v>
                </c:pt>
                <c:pt idx="1">
                  <c:v>1725300</c:v>
                </c:pt>
                <c:pt idx="2">
                  <c:v>3443300</c:v>
                </c:pt>
                <c:pt idx="3">
                  <c:v>1966760</c:v>
                </c:pt>
                <c:pt idx="4">
                  <c:v>2078920</c:v>
                </c:pt>
                <c:pt idx="5">
                  <c:v>2611260</c:v>
                </c:pt>
              </c:numCache>
            </c:numRef>
          </c:val>
          <c:smooth val="0"/>
          <c:extLst>
            <c:ext xmlns:c16="http://schemas.microsoft.com/office/drawing/2014/chart" uri="{C3380CC4-5D6E-409C-BE32-E72D297353CC}">
              <c16:uniqueId val="{00000000-22A5-43A4-92B4-DEF45CEDB685}"/>
            </c:ext>
          </c:extLst>
        </c:ser>
        <c:dLbls>
          <c:showLegendKey val="0"/>
          <c:showVal val="0"/>
          <c:showCatName val="0"/>
          <c:showSerName val="0"/>
          <c:showPercent val="0"/>
          <c:showBubbleSize val="0"/>
        </c:dLbls>
        <c:smooth val="0"/>
        <c:axId val="1962879424"/>
        <c:axId val="1952216112"/>
      </c:lineChart>
      <c:catAx>
        <c:axId val="196287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16112"/>
        <c:crosses val="autoZero"/>
        <c:auto val="1"/>
        <c:lblAlgn val="ctr"/>
        <c:lblOffset val="100"/>
        <c:noMultiLvlLbl val="0"/>
      </c:catAx>
      <c:valAx>
        <c:axId val="195221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7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[Dashboard.xlsx]Sales_Data!Quantity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Sales_Data!$N$23</c:f>
              <c:strCache>
                <c:ptCount val="1"/>
                <c:pt idx="0">
                  <c:v>Total</c:v>
                </c:pt>
              </c:strCache>
            </c:strRef>
          </c:tx>
          <c:spPr>
            <a:solidFill>
              <a:schemeClr val="accent1"/>
            </a:solidFill>
            <a:ln>
              <a:noFill/>
            </a:ln>
            <a:effectLst/>
          </c:spPr>
          <c:invertIfNegative val="0"/>
          <c:cat>
            <c:strRef>
              <c:f>Sales_Data!$M$24:$M$34</c:f>
              <c:strCache>
                <c:ptCount val="10"/>
                <c:pt idx="0">
                  <c:v>Chair</c:v>
                </c:pt>
                <c:pt idx="1">
                  <c:v>Headphones</c:v>
                </c:pt>
                <c:pt idx="2">
                  <c:v>Keyboard</c:v>
                </c:pt>
                <c:pt idx="3">
                  <c:v>Laptop</c:v>
                </c:pt>
                <c:pt idx="4">
                  <c:v>Monitor</c:v>
                </c:pt>
                <c:pt idx="5">
                  <c:v>Mouse</c:v>
                </c:pt>
                <c:pt idx="6">
                  <c:v>Notebook</c:v>
                </c:pt>
                <c:pt idx="7">
                  <c:v>Printer</c:v>
                </c:pt>
                <c:pt idx="8">
                  <c:v>Table</c:v>
                </c:pt>
                <c:pt idx="9">
                  <c:v>Webcam</c:v>
                </c:pt>
              </c:strCache>
            </c:strRef>
          </c:cat>
          <c:val>
            <c:numRef>
              <c:f>Sales_Data!$N$24:$N$34</c:f>
              <c:numCache>
                <c:formatCode>General</c:formatCode>
                <c:ptCount val="10"/>
                <c:pt idx="0">
                  <c:v>158</c:v>
                </c:pt>
                <c:pt idx="1">
                  <c:v>139</c:v>
                </c:pt>
                <c:pt idx="2">
                  <c:v>158</c:v>
                </c:pt>
                <c:pt idx="3">
                  <c:v>151</c:v>
                </c:pt>
                <c:pt idx="4">
                  <c:v>89</c:v>
                </c:pt>
                <c:pt idx="5">
                  <c:v>84</c:v>
                </c:pt>
                <c:pt idx="6">
                  <c:v>130</c:v>
                </c:pt>
                <c:pt idx="7">
                  <c:v>153</c:v>
                </c:pt>
                <c:pt idx="8">
                  <c:v>108</c:v>
                </c:pt>
                <c:pt idx="9">
                  <c:v>135</c:v>
                </c:pt>
              </c:numCache>
            </c:numRef>
          </c:val>
          <c:extLst>
            <c:ext xmlns:c16="http://schemas.microsoft.com/office/drawing/2014/chart" uri="{C3380CC4-5D6E-409C-BE32-E72D297353CC}">
              <c16:uniqueId val="{00000000-1688-44AE-BA43-8637ED44555F}"/>
            </c:ext>
          </c:extLst>
        </c:ser>
        <c:dLbls>
          <c:showLegendKey val="0"/>
          <c:showVal val="0"/>
          <c:showCatName val="0"/>
          <c:showSerName val="0"/>
          <c:showPercent val="0"/>
          <c:showBubbleSize val="0"/>
        </c:dLbls>
        <c:gapWidth val="219"/>
        <c:overlap val="-27"/>
        <c:axId val="1906290048"/>
        <c:axId val="1952230992"/>
      </c:barChart>
      <c:catAx>
        <c:axId val="19062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30992"/>
        <c:crosses val="autoZero"/>
        <c:auto val="1"/>
        <c:lblAlgn val="ctr"/>
        <c:lblOffset val="100"/>
        <c:noMultiLvlLbl val="0"/>
      </c:catAx>
      <c:valAx>
        <c:axId val="195223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29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304800</xdr:colOff>
      <xdr:row>21</xdr:row>
      <xdr:rowOff>0</xdr:rowOff>
    </xdr:to>
    <xdr:graphicFrame macro="">
      <xdr:nvGraphicFramePr>
        <xdr:cNvPr id="2" name="Chart 1">
          <a:extLst>
            <a:ext uri="{FF2B5EF4-FFF2-40B4-BE49-F238E27FC236}">
              <a16:creationId xmlns:a16="http://schemas.microsoft.com/office/drawing/2014/main" id="{E9CEA5B0-E3D7-446C-A42A-B4357A7AD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6</xdr:row>
      <xdr:rowOff>0</xdr:rowOff>
    </xdr:from>
    <xdr:to>
      <xdr:col>15</xdr:col>
      <xdr:colOff>304800</xdr:colOff>
      <xdr:row>21</xdr:row>
      <xdr:rowOff>0</xdr:rowOff>
    </xdr:to>
    <xdr:graphicFrame macro="">
      <xdr:nvGraphicFramePr>
        <xdr:cNvPr id="3" name="Chart 2">
          <a:extLst>
            <a:ext uri="{FF2B5EF4-FFF2-40B4-BE49-F238E27FC236}">
              <a16:creationId xmlns:a16="http://schemas.microsoft.com/office/drawing/2014/main" id="{BBFFF7C6-295F-453E-AA2C-E64D1A0B3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304800</xdr:colOff>
      <xdr:row>37</xdr:row>
      <xdr:rowOff>0</xdr:rowOff>
    </xdr:to>
    <xdr:graphicFrame macro="">
      <xdr:nvGraphicFramePr>
        <xdr:cNvPr id="4" name="Chart 3">
          <a:extLst>
            <a:ext uri="{FF2B5EF4-FFF2-40B4-BE49-F238E27FC236}">
              <a16:creationId xmlns:a16="http://schemas.microsoft.com/office/drawing/2014/main" id="{CE45CABB-2A9C-4F22-B33E-A296EFB3C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15</xdr:col>
      <xdr:colOff>304800</xdr:colOff>
      <xdr:row>37</xdr:row>
      <xdr:rowOff>0</xdr:rowOff>
    </xdr:to>
    <xdr:graphicFrame macro="">
      <xdr:nvGraphicFramePr>
        <xdr:cNvPr id="5" name="Chart 4">
          <a:extLst>
            <a:ext uri="{FF2B5EF4-FFF2-40B4-BE49-F238E27FC236}">
              <a16:creationId xmlns:a16="http://schemas.microsoft.com/office/drawing/2014/main" id="{EE67AA2C-0464-45AF-8572-FE9F77E3A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62023</xdr:colOff>
      <xdr:row>38</xdr:row>
      <xdr:rowOff>106325</xdr:rowOff>
    </xdr:from>
    <xdr:to>
      <xdr:col>7</xdr:col>
      <xdr:colOff>189613</xdr:colOff>
      <xdr:row>53</xdr:row>
      <xdr:rowOff>106326</xdr:rowOff>
    </xdr:to>
    <xdr:graphicFrame macro="">
      <xdr:nvGraphicFramePr>
        <xdr:cNvPr id="6" name="Chart 5">
          <a:extLst>
            <a:ext uri="{FF2B5EF4-FFF2-40B4-BE49-F238E27FC236}">
              <a16:creationId xmlns:a16="http://schemas.microsoft.com/office/drawing/2014/main" id="{5630E2B2-EF1E-40A8-9CC5-AC6DD95BE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6</xdr:row>
      <xdr:rowOff>0</xdr:rowOff>
    </xdr:from>
    <xdr:to>
      <xdr:col>18</xdr:col>
      <xdr:colOff>606056</xdr:colOff>
      <xdr:row>19</xdr:row>
      <xdr:rowOff>48068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883D0EB-BD30-4778-B33D-77ACE92696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06000" y="1412697"/>
              <a:ext cx="1821831" cy="238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6</xdr:row>
      <xdr:rowOff>0</xdr:rowOff>
    </xdr:from>
    <xdr:to>
      <xdr:col>22</xdr:col>
      <xdr:colOff>606056</xdr:colOff>
      <xdr:row>19</xdr:row>
      <xdr:rowOff>48068</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0BBEB02E-1354-4011-BA57-14E8A65C11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37551" y="1412697"/>
              <a:ext cx="1821831" cy="238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22</xdr:row>
      <xdr:rowOff>0</xdr:rowOff>
    </xdr:from>
    <xdr:to>
      <xdr:col>18</xdr:col>
      <xdr:colOff>606056</xdr:colOff>
      <xdr:row>35</xdr:row>
      <xdr:rowOff>48068</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C88E3C75-FED1-4EBB-ADD4-E23DD15BE3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06000" y="4289461"/>
              <a:ext cx="1821831" cy="238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Dash" refreshedDate="46206.466348611109" createdVersion="8" refreshedVersion="8" minRefreshableVersion="3" recordCount="300" xr:uid="{9D8B5F3D-3AA6-404E-8E51-9777617AE60A}">
  <cacheSource type="worksheet">
    <worksheetSource name="Table1"/>
  </cacheSource>
  <cacheFields count="10">
    <cacheField name="Order ID" numFmtId="0">
      <sharedItems containsSemiMixedTypes="0" containsString="0" containsNumber="1" containsInteger="1" minValue="1001" maxValue="1300"/>
    </cacheField>
    <cacheField name="Date" numFmtId="14">
      <sharedItems containsSemiMixedTypes="0" containsNonDate="0" containsDate="1" containsString="0" minDate="2026-01-01T00:00:00" maxDate="2026-06-30T00:00:00" count="145">
        <d v="2026-06-26T00:00:00"/>
        <d v="2026-02-07T00:00:00"/>
        <d v="2026-05-26T00:00:00"/>
        <d v="2026-01-02T00:00:00"/>
        <d v="2026-02-06T00:00:00"/>
        <d v="2026-06-20T00:00:00"/>
        <d v="2026-03-17T00:00:00"/>
        <d v="2026-03-27T00:00:00"/>
        <d v="2026-02-26T00:00:00"/>
        <d v="2026-05-14T00:00:00"/>
        <d v="2026-03-22T00:00:00"/>
        <d v="2026-06-13T00:00:00"/>
        <d v="2026-04-16T00:00:00"/>
        <d v="2026-05-23T00:00:00"/>
        <d v="2026-03-30T00:00:00"/>
        <d v="2026-03-04T00:00:00"/>
        <d v="2026-05-07T00:00:00"/>
        <d v="2026-03-02T00:00:00"/>
        <d v="2026-04-15T00:00:00"/>
        <d v="2026-06-08T00:00:00"/>
        <d v="2026-06-01T00:00:00"/>
        <d v="2026-05-03T00:00:00"/>
        <d v="2026-04-07T00:00:00"/>
        <d v="2026-05-16T00:00:00"/>
        <d v="2026-01-21T00:00:00"/>
        <d v="2026-05-11T00:00:00"/>
        <d v="2026-02-08T00:00:00"/>
        <d v="2026-05-06T00:00:00"/>
        <d v="2026-02-17T00:00:00"/>
        <d v="2026-06-10T00:00:00"/>
        <d v="2026-03-09T00:00:00"/>
        <d v="2026-04-05T00:00:00"/>
        <d v="2026-02-11T00:00:00"/>
        <d v="2026-01-07T00:00:00"/>
        <d v="2026-03-03T00:00:00"/>
        <d v="2026-01-26T00:00:00"/>
        <d v="2026-04-06T00:00:00"/>
        <d v="2026-03-31T00:00:00"/>
        <d v="2026-04-24T00:00:00"/>
        <d v="2026-02-19T00:00:00"/>
        <d v="2026-06-22T00:00:00"/>
        <d v="2026-06-07T00:00:00"/>
        <d v="2026-02-25T00:00:00"/>
        <d v="2026-03-13T00:00:00"/>
        <d v="2026-03-10T00:00:00"/>
        <d v="2026-05-08T00:00:00"/>
        <d v="2026-02-23T00:00:00"/>
        <d v="2026-05-17T00:00:00"/>
        <d v="2026-03-08T00:00:00"/>
        <d v="2026-01-08T00:00:00"/>
        <d v="2026-01-27T00:00:00"/>
        <d v="2026-03-11T00:00:00"/>
        <d v="2026-06-24T00:00:00"/>
        <d v="2026-01-20T00:00:00"/>
        <d v="2026-03-18T00:00:00"/>
        <d v="2026-04-21T00:00:00"/>
        <d v="2026-06-09T00:00:00"/>
        <d v="2026-03-29T00:00:00"/>
        <d v="2026-01-13T00:00:00"/>
        <d v="2026-03-05T00:00:00"/>
        <d v="2026-01-15T00:00:00"/>
        <d v="2026-05-18T00:00:00"/>
        <d v="2026-03-07T00:00:00"/>
        <d v="2026-04-10T00:00:00"/>
        <d v="2026-01-22T00:00:00"/>
        <d v="2026-06-15T00:00:00"/>
        <d v="2026-01-05T00:00:00"/>
        <d v="2026-05-29T00:00:00"/>
        <d v="2026-02-14T00:00:00"/>
        <d v="2026-02-02T00:00:00"/>
        <d v="2026-04-01T00:00:00"/>
        <d v="2026-03-01T00:00:00"/>
        <d v="2026-04-27T00:00:00"/>
        <d v="2026-05-01T00:00:00"/>
        <d v="2026-06-25T00:00:00"/>
        <d v="2026-04-26T00:00:00"/>
        <d v="2026-05-20T00:00:00"/>
        <d v="2026-01-04T00:00:00"/>
        <d v="2026-05-24T00:00:00"/>
        <d v="2026-02-28T00:00:00"/>
        <d v="2026-03-26T00:00:00"/>
        <d v="2026-01-25T00:00:00"/>
        <d v="2026-02-18T00:00:00"/>
        <d v="2026-04-04T00:00:00"/>
        <d v="2026-04-08T00:00:00"/>
        <d v="2026-04-14T00:00:00"/>
        <d v="2026-06-18T00:00:00"/>
        <d v="2026-04-17T00:00:00"/>
        <d v="2026-06-06T00:00:00"/>
        <d v="2026-03-16T00:00:00"/>
        <d v="2026-03-23T00:00:00"/>
        <d v="2026-05-04T00:00:00"/>
        <d v="2026-06-16T00:00:00"/>
        <d v="2026-01-31T00:00:00"/>
        <d v="2026-01-18T00:00:00"/>
        <d v="2026-04-29T00:00:00"/>
        <d v="2026-05-12T00:00:00"/>
        <d v="2026-03-14T00:00:00"/>
        <d v="2026-01-09T00:00:00"/>
        <d v="2026-05-28T00:00:00"/>
        <d v="2026-04-13T00:00:00"/>
        <d v="2026-02-10T00:00:00"/>
        <d v="2026-01-23T00:00:00"/>
        <d v="2026-02-24T00:00:00"/>
        <d v="2026-04-09T00:00:00"/>
        <d v="2026-06-19T00:00:00"/>
        <d v="2026-05-10T00:00:00"/>
        <d v="2026-01-03T00:00:00"/>
        <d v="2026-05-13T00:00:00"/>
        <d v="2026-05-15T00:00:00"/>
        <d v="2026-06-05T00:00:00"/>
        <d v="2026-05-21T00:00:00"/>
        <d v="2026-06-03T00:00:00"/>
        <d v="2026-01-17T00:00:00"/>
        <d v="2026-02-09T00:00:00"/>
        <d v="2026-03-28T00:00:00"/>
        <d v="2026-06-29T00:00:00"/>
        <d v="2026-02-03T00:00:00"/>
        <d v="2026-01-14T00:00:00"/>
        <d v="2026-04-18T00:00:00"/>
        <d v="2026-02-05T00:00:00"/>
        <d v="2026-05-25T00:00:00"/>
        <d v="2026-02-20T00:00:00"/>
        <d v="2026-01-30T00:00:00"/>
        <d v="2026-02-27T00:00:00"/>
        <d v="2026-01-28T00:00:00"/>
        <d v="2026-01-16T00:00:00"/>
        <d v="2026-04-22T00:00:00"/>
        <d v="2026-03-19T00:00:00"/>
        <d v="2026-06-17T00:00:00"/>
        <d v="2026-02-13T00:00:00"/>
        <d v="2026-04-02T00:00:00"/>
        <d v="2026-05-31T00:00:00"/>
        <d v="2026-03-24T00:00:00"/>
        <d v="2026-02-01T00:00:00"/>
        <d v="2026-04-03T00:00:00"/>
        <d v="2026-01-01T00:00:00"/>
        <d v="2026-03-12T00:00:00"/>
        <d v="2026-02-15T00:00:00"/>
        <d v="2026-06-02T00:00:00"/>
        <d v="2026-01-24T00:00:00"/>
        <d v="2026-01-29T00:00:00"/>
        <d v="2026-06-28T00:00:00"/>
        <d v="2026-01-12T00:00:00"/>
        <d v="2026-05-27T00:00:00"/>
      </sharedItems>
      <fieldGroup par="9"/>
    </cacheField>
    <cacheField name="Product" numFmtId="0">
      <sharedItems count="10">
        <s v="Printer"/>
        <s v="Monitor"/>
        <s v="Headphones"/>
        <s v="Keyboard"/>
        <s v="Laptop"/>
        <s v="Webcam"/>
        <s v="Chair"/>
        <s v="Notebook"/>
        <s v="Mouse"/>
        <s v="Table"/>
      </sharedItems>
    </cacheField>
    <cacheField name="Category" numFmtId="0">
      <sharedItems count="4">
        <s v="Office"/>
        <s v="Electronics"/>
        <s v="Accessories"/>
        <s v="Furniture"/>
      </sharedItems>
    </cacheField>
    <cacheField name="Region" numFmtId="0">
      <sharedItems count="4">
        <s v="West"/>
        <s v="South"/>
        <s v="North"/>
        <s v="East"/>
      </sharedItems>
    </cacheField>
    <cacheField name="Quantity" numFmtId="0">
      <sharedItems containsSemiMixedTypes="0" containsString="0" containsNumber="1" containsInteger="1" minValue="1" maxValue="8"/>
    </cacheField>
    <cacheField name="Price" numFmtId="0">
      <sharedItems containsSemiMixedTypes="0" containsString="0" containsNumber="1" containsInteger="1" minValue="120" maxValue="50000"/>
    </cacheField>
    <cacheField name="Revenue" numFmtId="0">
      <sharedItems containsSemiMixedTypes="0" containsString="0" containsNumber="1" containsInteger="1" minValue="120" maxValue="400000"/>
    </cacheField>
    <cacheField name="Months (Date)" numFmtId="0" databaseField="0">
      <fieldGroup base="1">
        <rangePr groupBy="months" startDate="2026-01-01T00:00:00" endDate="2026-06-30T00:00:00"/>
        <groupItems count="14">
          <s v="&lt;01-01-2026"/>
          <s v="Jan"/>
          <s v="Feb"/>
          <s v="Mar"/>
          <s v="Apr"/>
          <s v="May"/>
          <s v="Jun"/>
          <s v="Jul"/>
          <s v="Aug"/>
          <s v="Sep"/>
          <s v="Oct"/>
          <s v="Nov"/>
          <s v="Dec"/>
          <s v="&gt;30-06-2026"/>
        </groupItems>
      </fieldGroup>
    </cacheField>
    <cacheField name="Years (Date)" numFmtId="0" databaseField="0">
      <fieldGroup base="1">
        <rangePr groupBy="years" startDate="2026-01-01T00:00:00" endDate="2026-06-30T00:00:00"/>
        <groupItems count="3">
          <s v="&lt;01-01-2026"/>
          <s v="2026"/>
          <s v="&gt;30-06-2026"/>
        </groupItems>
      </fieldGroup>
    </cacheField>
  </cacheFields>
  <extLst>
    <ext xmlns:x14="http://schemas.microsoft.com/office/spreadsheetml/2009/9/main" uri="{725AE2AE-9491-48be-B2B4-4EB974FC3084}">
      <x14:pivotCacheDefinition pivotCacheId="1324656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x v="0"/>
    <x v="0"/>
    <x v="0"/>
    <x v="0"/>
    <n v="6"/>
    <n v="18000"/>
    <n v="108000"/>
  </r>
  <r>
    <n v="1002"/>
    <x v="1"/>
    <x v="1"/>
    <x v="1"/>
    <x v="1"/>
    <n v="1"/>
    <n v="15000"/>
    <n v="15000"/>
  </r>
  <r>
    <n v="1003"/>
    <x v="2"/>
    <x v="2"/>
    <x v="1"/>
    <x v="2"/>
    <n v="8"/>
    <n v="2500"/>
    <n v="20000"/>
  </r>
  <r>
    <n v="1004"/>
    <x v="3"/>
    <x v="3"/>
    <x v="2"/>
    <x v="0"/>
    <n v="3"/>
    <n v="1200"/>
    <n v="3600"/>
  </r>
  <r>
    <n v="1005"/>
    <x v="4"/>
    <x v="3"/>
    <x v="2"/>
    <x v="1"/>
    <n v="4"/>
    <n v="1200"/>
    <n v="4800"/>
  </r>
  <r>
    <n v="1006"/>
    <x v="5"/>
    <x v="4"/>
    <x v="1"/>
    <x v="2"/>
    <n v="7"/>
    <n v="50000"/>
    <n v="350000"/>
  </r>
  <r>
    <n v="1007"/>
    <x v="6"/>
    <x v="5"/>
    <x v="1"/>
    <x v="1"/>
    <n v="3"/>
    <n v="3200"/>
    <n v="9600"/>
  </r>
  <r>
    <n v="1008"/>
    <x v="7"/>
    <x v="5"/>
    <x v="1"/>
    <x v="2"/>
    <n v="4"/>
    <n v="3200"/>
    <n v="12800"/>
  </r>
  <r>
    <n v="1009"/>
    <x v="8"/>
    <x v="1"/>
    <x v="1"/>
    <x v="3"/>
    <n v="1"/>
    <n v="15000"/>
    <n v="15000"/>
  </r>
  <r>
    <n v="1010"/>
    <x v="9"/>
    <x v="6"/>
    <x v="3"/>
    <x v="0"/>
    <n v="2"/>
    <n v="4500"/>
    <n v="9000"/>
  </r>
  <r>
    <n v="1011"/>
    <x v="10"/>
    <x v="6"/>
    <x v="3"/>
    <x v="1"/>
    <n v="5"/>
    <n v="4500"/>
    <n v="22500"/>
  </r>
  <r>
    <n v="1012"/>
    <x v="1"/>
    <x v="7"/>
    <x v="0"/>
    <x v="2"/>
    <n v="7"/>
    <n v="120"/>
    <n v="840"/>
  </r>
  <r>
    <n v="1013"/>
    <x v="11"/>
    <x v="2"/>
    <x v="1"/>
    <x v="0"/>
    <n v="6"/>
    <n v="2500"/>
    <n v="15000"/>
  </r>
  <r>
    <n v="1014"/>
    <x v="12"/>
    <x v="8"/>
    <x v="2"/>
    <x v="1"/>
    <n v="6"/>
    <n v="600"/>
    <n v="3600"/>
  </r>
  <r>
    <n v="1015"/>
    <x v="13"/>
    <x v="6"/>
    <x v="3"/>
    <x v="0"/>
    <n v="1"/>
    <n v="4500"/>
    <n v="4500"/>
  </r>
  <r>
    <n v="1016"/>
    <x v="14"/>
    <x v="2"/>
    <x v="1"/>
    <x v="2"/>
    <n v="4"/>
    <n v="2500"/>
    <n v="10000"/>
  </r>
  <r>
    <n v="1017"/>
    <x v="15"/>
    <x v="9"/>
    <x v="3"/>
    <x v="3"/>
    <n v="8"/>
    <n v="8000"/>
    <n v="64000"/>
  </r>
  <r>
    <n v="1018"/>
    <x v="16"/>
    <x v="0"/>
    <x v="0"/>
    <x v="1"/>
    <n v="4"/>
    <n v="18000"/>
    <n v="72000"/>
  </r>
  <r>
    <n v="1019"/>
    <x v="17"/>
    <x v="0"/>
    <x v="0"/>
    <x v="0"/>
    <n v="7"/>
    <n v="18000"/>
    <n v="126000"/>
  </r>
  <r>
    <n v="1020"/>
    <x v="18"/>
    <x v="3"/>
    <x v="2"/>
    <x v="2"/>
    <n v="6"/>
    <n v="1200"/>
    <n v="7200"/>
  </r>
  <r>
    <n v="1021"/>
    <x v="19"/>
    <x v="6"/>
    <x v="3"/>
    <x v="0"/>
    <n v="8"/>
    <n v="4500"/>
    <n v="36000"/>
  </r>
  <r>
    <n v="1022"/>
    <x v="20"/>
    <x v="2"/>
    <x v="1"/>
    <x v="1"/>
    <n v="3"/>
    <n v="2500"/>
    <n v="7500"/>
  </r>
  <r>
    <n v="1023"/>
    <x v="21"/>
    <x v="7"/>
    <x v="0"/>
    <x v="1"/>
    <n v="6"/>
    <n v="120"/>
    <n v="720"/>
  </r>
  <r>
    <n v="1024"/>
    <x v="22"/>
    <x v="5"/>
    <x v="1"/>
    <x v="0"/>
    <n v="6"/>
    <n v="3200"/>
    <n v="19200"/>
  </r>
  <r>
    <n v="1025"/>
    <x v="23"/>
    <x v="2"/>
    <x v="1"/>
    <x v="0"/>
    <n v="5"/>
    <n v="2500"/>
    <n v="12500"/>
  </r>
  <r>
    <n v="1026"/>
    <x v="21"/>
    <x v="4"/>
    <x v="1"/>
    <x v="0"/>
    <n v="2"/>
    <n v="50000"/>
    <n v="100000"/>
  </r>
  <r>
    <n v="1027"/>
    <x v="7"/>
    <x v="0"/>
    <x v="0"/>
    <x v="0"/>
    <n v="3"/>
    <n v="18000"/>
    <n v="54000"/>
  </r>
  <r>
    <n v="1028"/>
    <x v="24"/>
    <x v="0"/>
    <x v="0"/>
    <x v="0"/>
    <n v="5"/>
    <n v="18000"/>
    <n v="90000"/>
  </r>
  <r>
    <n v="1029"/>
    <x v="25"/>
    <x v="5"/>
    <x v="1"/>
    <x v="2"/>
    <n v="2"/>
    <n v="3200"/>
    <n v="6400"/>
  </r>
  <r>
    <n v="1030"/>
    <x v="26"/>
    <x v="2"/>
    <x v="1"/>
    <x v="2"/>
    <n v="3"/>
    <n v="2500"/>
    <n v="7500"/>
  </r>
  <r>
    <n v="1031"/>
    <x v="27"/>
    <x v="6"/>
    <x v="3"/>
    <x v="0"/>
    <n v="2"/>
    <n v="4500"/>
    <n v="9000"/>
  </r>
  <r>
    <n v="1032"/>
    <x v="28"/>
    <x v="5"/>
    <x v="1"/>
    <x v="3"/>
    <n v="8"/>
    <n v="3200"/>
    <n v="25600"/>
  </r>
  <r>
    <n v="1033"/>
    <x v="29"/>
    <x v="0"/>
    <x v="0"/>
    <x v="3"/>
    <n v="2"/>
    <n v="18000"/>
    <n v="36000"/>
  </r>
  <r>
    <n v="1034"/>
    <x v="30"/>
    <x v="0"/>
    <x v="0"/>
    <x v="3"/>
    <n v="1"/>
    <n v="18000"/>
    <n v="18000"/>
  </r>
  <r>
    <n v="1035"/>
    <x v="31"/>
    <x v="5"/>
    <x v="1"/>
    <x v="2"/>
    <n v="3"/>
    <n v="3200"/>
    <n v="9600"/>
  </r>
  <r>
    <n v="1036"/>
    <x v="32"/>
    <x v="2"/>
    <x v="1"/>
    <x v="1"/>
    <n v="3"/>
    <n v="2500"/>
    <n v="7500"/>
  </r>
  <r>
    <n v="1037"/>
    <x v="33"/>
    <x v="9"/>
    <x v="3"/>
    <x v="0"/>
    <n v="5"/>
    <n v="8000"/>
    <n v="40000"/>
  </r>
  <r>
    <n v="1038"/>
    <x v="34"/>
    <x v="9"/>
    <x v="3"/>
    <x v="0"/>
    <n v="1"/>
    <n v="8000"/>
    <n v="8000"/>
  </r>
  <r>
    <n v="1039"/>
    <x v="35"/>
    <x v="8"/>
    <x v="2"/>
    <x v="0"/>
    <n v="1"/>
    <n v="600"/>
    <n v="600"/>
  </r>
  <r>
    <n v="1040"/>
    <x v="36"/>
    <x v="6"/>
    <x v="3"/>
    <x v="3"/>
    <n v="6"/>
    <n v="4500"/>
    <n v="27000"/>
  </r>
  <r>
    <n v="1041"/>
    <x v="32"/>
    <x v="5"/>
    <x v="1"/>
    <x v="1"/>
    <n v="7"/>
    <n v="3200"/>
    <n v="22400"/>
  </r>
  <r>
    <n v="1042"/>
    <x v="37"/>
    <x v="1"/>
    <x v="1"/>
    <x v="2"/>
    <n v="4"/>
    <n v="15000"/>
    <n v="60000"/>
  </r>
  <r>
    <n v="1043"/>
    <x v="38"/>
    <x v="8"/>
    <x v="2"/>
    <x v="0"/>
    <n v="3"/>
    <n v="600"/>
    <n v="1800"/>
  </r>
  <r>
    <n v="1044"/>
    <x v="39"/>
    <x v="7"/>
    <x v="0"/>
    <x v="1"/>
    <n v="6"/>
    <n v="120"/>
    <n v="720"/>
  </r>
  <r>
    <n v="1045"/>
    <x v="40"/>
    <x v="8"/>
    <x v="2"/>
    <x v="1"/>
    <n v="1"/>
    <n v="600"/>
    <n v="600"/>
  </r>
  <r>
    <n v="1046"/>
    <x v="41"/>
    <x v="4"/>
    <x v="1"/>
    <x v="2"/>
    <n v="5"/>
    <n v="50000"/>
    <n v="250000"/>
  </r>
  <r>
    <n v="1047"/>
    <x v="42"/>
    <x v="0"/>
    <x v="0"/>
    <x v="2"/>
    <n v="1"/>
    <n v="18000"/>
    <n v="18000"/>
  </r>
  <r>
    <n v="1048"/>
    <x v="32"/>
    <x v="2"/>
    <x v="1"/>
    <x v="2"/>
    <n v="8"/>
    <n v="2500"/>
    <n v="20000"/>
  </r>
  <r>
    <n v="1049"/>
    <x v="33"/>
    <x v="2"/>
    <x v="1"/>
    <x v="2"/>
    <n v="2"/>
    <n v="2500"/>
    <n v="5000"/>
  </r>
  <r>
    <n v="1050"/>
    <x v="41"/>
    <x v="3"/>
    <x v="2"/>
    <x v="0"/>
    <n v="3"/>
    <n v="1200"/>
    <n v="3600"/>
  </r>
  <r>
    <n v="1051"/>
    <x v="43"/>
    <x v="6"/>
    <x v="3"/>
    <x v="1"/>
    <n v="2"/>
    <n v="4500"/>
    <n v="9000"/>
  </r>
  <r>
    <n v="1052"/>
    <x v="44"/>
    <x v="9"/>
    <x v="3"/>
    <x v="3"/>
    <n v="5"/>
    <n v="8000"/>
    <n v="40000"/>
  </r>
  <r>
    <n v="1053"/>
    <x v="45"/>
    <x v="9"/>
    <x v="3"/>
    <x v="0"/>
    <n v="7"/>
    <n v="8000"/>
    <n v="56000"/>
  </r>
  <r>
    <n v="1054"/>
    <x v="46"/>
    <x v="6"/>
    <x v="3"/>
    <x v="0"/>
    <n v="8"/>
    <n v="4500"/>
    <n v="36000"/>
  </r>
  <r>
    <n v="1055"/>
    <x v="46"/>
    <x v="5"/>
    <x v="1"/>
    <x v="1"/>
    <n v="8"/>
    <n v="3200"/>
    <n v="25600"/>
  </r>
  <r>
    <n v="1056"/>
    <x v="15"/>
    <x v="0"/>
    <x v="0"/>
    <x v="1"/>
    <n v="3"/>
    <n v="18000"/>
    <n v="54000"/>
  </r>
  <r>
    <n v="1057"/>
    <x v="47"/>
    <x v="3"/>
    <x v="2"/>
    <x v="1"/>
    <n v="1"/>
    <n v="1200"/>
    <n v="1200"/>
  </r>
  <r>
    <n v="1058"/>
    <x v="39"/>
    <x v="2"/>
    <x v="1"/>
    <x v="2"/>
    <n v="1"/>
    <n v="2500"/>
    <n v="2500"/>
  </r>
  <r>
    <n v="1059"/>
    <x v="48"/>
    <x v="9"/>
    <x v="3"/>
    <x v="3"/>
    <n v="2"/>
    <n v="8000"/>
    <n v="16000"/>
  </r>
  <r>
    <n v="1060"/>
    <x v="49"/>
    <x v="6"/>
    <x v="3"/>
    <x v="1"/>
    <n v="6"/>
    <n v="4500"/>
    <n v="27000"/>
  </r>
  <r>
    <n v="1061"/>
    <x v="6"/>
    <x v="0"/>
    <x v="0"/>
    <x v="2"/>
    <n v="6"/>
    <n v="18000"/>
    <n v="108000"/>
  </r>
  <r>
    <n v="1062"/>
    <x v="50"/>
    <x v="5"/>
    <x v="1"/>
    <x v="2"/>
    <n v="4"/>
    <n v="3200"/>
    <n v="12800"/>
  </r>
  <r>
    <n v="1063"/>
    <x v="2"/>
    <x v="5"/>
    <x v="1"/>
    <x v="0"/>
    <n v="2"/>
    <n v="3200"/>
    <n v="6400"/>
  </r>
  <r>
    <n v="1064"/>
    <x v="51"/>
    <x v="6"/>
    <x v="3"/>
    <x v="3"/>
    <n v="8"/>
    <n v="4500"/>
    <n v="36000"/>
  </r>
  <r>
    <n v="1065"/>
    <x v="52"/>
    <x v="4"/>
    <x v="1"/>
    <x v="2"/>
    <n v="5"/>
    <n v="50000"/>
    <n v="250000"/>
  </r>
  <r>
    <n v="1066"/>
    <x v="53"/>
    <x v="5"/>
    <x v="1"/>
    <x v="2"/>
    <n v="4"/>
    <n v="3200"/>
    <n v="12800"/>
  </r>
  <r>
    <n v="1067"/>
    <x v="54"/>
    <x v="6"/>
    <x v="3"/>
    <x v="1"/>
    <n v="4"/>
    <n v="4500"/>
    <n v="18000"/>
  </r>
  <r>
    <n v="1068"/>
    <x v="55"/>
    <x v="4"/>
    <x v="1"/>
    <x v="0"/>
    <n v="5"/>
    <n v="50000"/>
    <n v="250000"/>
  </r>
  <r>
    <n v="1069"/>
    <x v="56"/>
    <x v="5"/>
    <x v="1"/>
    <x v="0"/>
    <n v="7"/>
    <n v="3200"/>
    <n v="22400"/>
  </r>
  <r>
    <n v="1070"/>
    <x v="10"/>
    <x v="2"/>
    <x v="1"/>
    <x v="1"/>
    <n v="8"/>
    <n v="2500"/>
    <n v="20000"/>
  </r>
  <r>
    <n v="1071"/>
    <x v="30"/>
    <x v="7"/>
    <x v="0"/>
    <x v="2"/>
    <n v="8"/>
    <n v="120"/>
    <n v="960"/>
  </r>
  <r>
    <n v="1072"/>
    <x v="57"/>
    <x v="6"/>
    <x v="3"/>
    <x v="2"/>
    <n v="1"/>
    <n v="4500"/>
    <n v="4500"/>
  </r>
  <r>
    <n v="1073"/>
    <x v="29"/>
    <x v="6"/>
    <x v="3"/>
    <x v="2"/>
    <n v="2"/>
    <n v="4500"/>
    <n v="9000"/>
  </r>
  <r>
    <n v="1074"/>
    <x v="13"/>
    <x v="7"/>
    <x v="0"/>
    <x v="0"/>
    <n v="5"/>
    <n v="120"/>
    <n v="600"/>
  </r>
  <r>
    <n v="1075"/>
    <x v="58"/>
    <x v="6"/>
    <x v="3"/>
    <x v="1"/>
    <n v="3"/>
    <n v="4500"/>
    <n v="13500"/>
  </r>
  <r>
    <n v="1076"/>
    <x v="24"/>
    <x v="8"/>
    <x v="2"/>
    <x v="1"/>
    <n v="8"/>
    <n v="600"/>
    <n v="4800"/>
  </r>
  <r>
    <n v="1077"/>
    <x v="59"/>
    <x v="9"/>
    <x v="3"/>
    <x v="1"/>
    <n v="8"/>
    <n v="8000"/>
    <n v="64000"/>
  </r>
  <r>
    <n v="1078"/>
    <x v="60"/>
    <x v="3"/>
    <x v="2"/>
    <x v="3"/>
    <n v="4"/>
    <n v="1200"/>
    <n v="4800"/>
  </r>
  <r>
    <n v="1079"/>
    <x v="61"/>
    <x v="6"/>
    <x v="3"/>
    <x v="3"/>
    <n v="7"/>
    <n v="4500"/>
    <n v="31500"/>
  </r>
  <r>
    <n v="1080"/>
    <x v="43"/>
    <x v="7"/>
    <x v="0"/>
    <x v="2"/>
    <n v="1"/>
    <n v="120"/>
    <n v="120"/>
  </r>
  <r>
    <n v="1081"/>
    <x v="22"/>
    <x v="9"/>
    <x v="3"/>
    <x v="1"/>
    <n v="2"/>
    <n v="8000"/>
    <n v="16000"/>
  </r>
  <r>
    <n v="1082"/>
    <x v="62"/>
    <x v="0"/>
    <x v="0"/>
    <x v="1"/>
    <n v="6"/>
    <n v="18000"/>
    <n v="108000"/>
  </r>
  <r>
    <n v="1083"/>
    <x v="46"/>
    <x v="4"/>
    <x v="1"/>
    <x v="3"/>
    <n v="5"/>
    <n v="50000"/>
    <n v="250000"/>
  </r>
  <r>
    <n v="1084"/>
    <x v="63"/>
    <x v="0"/>
    <x v="0"/>
    <x v="2"/>
    <n v="6"/>
    <n v="18000"/>
    <n v="108000"/>
  </r>
  <r>
    <n v="1085"/>
    <x v="64"/>
    <x v="3"/>
    <x v="2"/>
    <x v="0"/>
    <n v="1"/>
    <n v="1200"/>
    <n v="1200"/>
  </r>
  <r>
    <n v="1086"/>
    <x v="22"/>
    <x v="7"/>
    <x v="0"/>
    <x v="2"/>
    <n v="1"/>
    <n v="120"/>
    <n v="120"/>
  </r>
  <r>
    <n v="1087"/>
    <x v="65"/>
    <x v="3"/>
    <x v="2"/>
    <x v="1"/>
    <n v="6"/>
    <n v="1200"/>
    <n v="7200"/>
  </r>
  <r>
    <n v="1088"/>
    <x v="66"/>
    <x v="9"/>
    <x v="3"/>
    <x v="2"/>
    <n v="8"/>
    <n v="8000"/>
    <n v="64000"/>
  </r>
  <r>
    <n v="1089"/>
    <x v="67"/>
    <x v="3"/>
    <x v="2"/>
    <x v="2"/>
    <n v="6"/>
    <n v="1200"/>
    <n v="7200"/>
  </r>
  <r>
    <n v="1090"/>
    <x v="68"/>
    <x v="3"/>
    <x v="2"/>
    <x v="0"/>
    <n v="8"/>
    <n v="1200"/>
    <n v="9600"/>
  </r>
  <r>
    <n v="1091"/>
    <x v="43"/>
    <x v="5"/>
    <x v="1"/>
    <x v="3"/>
    <n v="1"/>
    <n v="3200"/>
    <n v="3200"/>
  </r>
  <r>
    <n v="1092"/>
    <x v="69"/>
    <x v="0"/>
    <x v="0"/>
    <x v="2"/>
    <n v="6"/>
    <n v="18000"/>
    <n v="108000"/>
  </r>
  <r>
    <n v="1093"/>
    <x v="34"/>
    <x v="0"/>
    <x v="0"/>
    <x v="3"/>
    <n v="1"/>
    <n v="18000"/>
    <n v="18000"/>
  </r>
  <r>
    <n v="1094"/>
    <x v="34"/>
    <x v="3"/>
    <x v="2"/>
    <x v="1"/>
    <n v="2"/>
    <n v="1200"/>
    <n v="2400"/>
  </r>
  <r>
    <n v="1095"/>
    <x v="70"/>
    <x v="1"/>
    <x v="1"/>
    <x v="3"/>
    <n v="3"/>
    <n v="15000"/>
    <n v="45000"/>
  </r>
  <r>
    <n v="1096"/>
    <x v="71"/>
    <x v="7"/>
    <x v="0"/>
    <x v="2"/>
    <n v="4"/>
    <n v="120"/>
    <n v="480"/>
  </r>
  <r>
    <n v="1097"/>
    <x v="72"/>
    <x v="7"/>
    <x v="0"/>
    <x v="3"/>
    <n v="2"/>
    <n v="120"/>
    <n v="240"/>
  </r>
  <r>
    <n v="1098"/>
    <x v="73"/>
    <x v="8"/>
    <x v="2"/>
    <x v="0"/>
    <n v="1"/>
    <n v="600"/>
    <n v="600"/>
  </r>
  <r>
    <n v="1099"/>
    <x v="74"/>
    <x v="2"/>
    <x v="1"/>
    <x v="0"/>
    <n v="1"/>
    <n v="2500"/>
    <n v="2500"/>
  </r>
  <r>
    <n v="1100"/>
    <x v="75"/>
    <x v="8"/>
    <x v="2"/>
    <x v="1"/>
    <n v="7"/>
    <n v="600"/>
    <n v="4200"/>
  </r>
  <r>
    <n v="1101"/>
    <x v="76"/>
    <x v="0"/>
    <x v="0"/>
    <x v="3"/>
    <n v="7"/>
    <n v="18000"/>
    <n v="126000"/>
  </r>
  <r>
    <n v="1102"/>
    <x v="77"/>
    <x v="2"/>
    <x v="1"/>
    <x v="0"/>
    <n v="1"/>
    <n v="2500"/>
    <n v="2500"/>
  </r>
  <r>
    <n v="1103"/>
    <x v="78"/>
    <x v="2"/>
    <x v="1"/>
    <x v="3"/>
    <n v="7"/>
    <n v="2500"/>
    <n v="17500"/>
  </r>
  <r>
    <n v="1104"/>
    <x v="79"/>
    <x v="1"/>
    <x v="1"/>
    <x v="3"/>
    <n v="1"/>
    <n v="15000"/>
    <n v="15000"/>
  </r>
  <r>
    <n v="1105"/>
    <x v="80"/>
    <x v="5"/>
    <x v="1"/>
    <x v="1"/>
    <n v="7"/>
    <n v="3200"/>
    <n v="22400"/>
  </r>
  <r>
    <n v="1106"/>
    <x v="59"/>
    <x v="7"/>
    <x v="0"/>
    <x v="0"/>
    <n v="1"/>
    <n v="120"/>
    <n v="120"/>
  </r>
  <r>
    <n v="1107"/>
    <x v="12"/>
    <x v="4"/>
    <x v="1"/>
    <x v="1"/>
    <n v="7"/>
    <n v="50000"/>
    <n v="350000"/>
  </r>
  <r>
    <n v="1108"/>
    <x v="81"/>
    <x v="0"/>
    <x v="0"/>
    <x v="2"/>
    <n v="4"/>
    <n v="18000"/>
    <n v="72000"/>
  </r>
  <r>
    <n v="1109"/>
    <x v="82"/>
    <x v="6"/>
    <x v="3"/>
    <x v="1"/>
    <n v="1"/>
    <n v="4500"/>
    <n v="4500"/>
  </r>
  <r>
    <n v="1110"/>
    <x v="83"/>
    <x v="1"/>
    <x v="1"/>
    <x v="0"/>
    <n v="6"/>
    <n v="15000"/>
    <n v="90000"/>
  </r>
  <r>
    <n v="1111"/>
    <x v="84"/>
    <x v="7"/>
    <x v="0"/>
    <x v="0"/>
    <n v="5"/>
    <n v="120"/>
    <n v="600"/>
  </r>
  <r>
    <n v="1112"/>
    <x v="64"/>
    <x v="3"/>
    <x v="2"/>
    <x v="3"/>
    <n v="1"/>
    <n v="1200"/>
    <n v="1200"/>
  </r>
  <r>
    <n v="1113"/>
    <x v="85"/>
    <x v="5"/>
    <x v="1"/>
    <x v="1"/>
    <n v="2"/>
    <n v="3200"/>
    <n v="6400"/>
  </r>
  <r>
    <n v="1114"/>
    <x v="86"/>
    <x v="5"/>
    <x v="1"/>
    <x v="3"/>
    <n v="8"/>
    <n v="3200"/>
    <n v="25600"/>
  </r>
  <r>
    <n v="1115"/>
    <x v="80"/>
    <x v="5"/>
    <x v="1"/>
    <x v="2"/>
    <n v="2"/>
    <n v="3200"/>
    <n v="6400"/>
  </r>
  <r>
    <n v="1116"/>
    <x v="83"/>
    <x v="7"/>
    <x v="0"/>
    <x v="2"/>
    <n v="1"/>
    <n v="120"/>
    <n v="120"/>
  </r>
  <r>
    <n v="1117"/>
    <x v="55"/>
    <x v="1"/>
    <x v="1"/>
    <x v="1"/>
    <n v="5"/>
    <n v="15000"/>
    <n v="75000"/>
  </r>
  <r>
    <n v="1118"/>
    <x v="87"/>
    <x v="4"/>
    <x v="1"/>
    <x v="3"/>
    <n v="6"/>
    <n v="50000"/>
    <n v="300000"/>
  </r>
  <r>
    <n v="1119"/>
    <x v="23"/>
    <x v="9"/>
    <x v="3"/>
    <x v="2"/>
    <n v="5"/>
    <n v="8000"/>
    <n v="40000"/>
  </r>
  <r>
    <n v="1120"/>
    <x v="61"/>
    <x v="4"/>
    <x v="1"/>
    <x v="3"/>
    <n v="5"/>
    <n v="50000"/>
    <n v="250000"/>
  </r>
  <r>
    <n v="1121"/>
    <x v="88"/>
    <x v="4"/>
    <x v="1"/>
    <x v="2"/>
    <n v="3"/>
    <n v="50000"/>
    <n v="150000"/>
  </r>
  <r>
    <n v="1122"/>
    <x v="27"/>
    <x v="6"/>
    <x v="3"/>
    <x v="2"/>
    <n v="1"/>
    <n v="4500"/>
    <n v="4500"/>
  </r>
  <r>
    <n v="1123"/>
    <x v="79"/>
    <x v="6"/>
    <x v="3"/>
    <x v="1"/>
    <n v="2"/>
    <n v="4500"/>
    <n v="9000"/>
  </r>
  <r>
    <n v="1124"/>
    <x v="20"/>
    <x v="6"/>
    <x v="3"/>
    <x v="3"/>
    <n v="2"/>
    <n v="4500"/>
    <n v="9000"/>
  </r>
  <r>
    <n v="1125"/>
    <x v="81"/>
    <x v="9"/>
    <x v="3"/>
    <x v="3"/>
    <n v="8"/>
    <n v="8000"/>
    <n v="64000"/>
  </r>
  <r>
    <n v="1126"/>
    <x v="89"/>
    <x v="7"/>
    <x v="0"/>
    <x v="3"/>
    <n v="6"/>
    <n v="120"/>
    <n v="720"/>
  </r>
  <r>
    <n v="1127"/>
    <x v="39"/>
    <x v="3"/>
    <x v="2"/>
    <x v="1"/>
    <n v="4"/>
    <n v="1200"/>
    <n v="4800"/>
  </r>
  <r>
    <n v="1128"/>
    <x v="29"/>
    <x v="1"/>
    <x v="1"/>
    <x v="0"/>
    <n v="3"/>
    <n v="15000"/>
    <n v="45000"/>
  </r>
  <r>
    <n v="1129"/>
    <x v="90"/>
    <x v="4"/>
    <x v="1"/>
    <x v="0"/>
    <n v="4"/>
    <n v="50000"/>
    <n v="200000"/>
  </r>
  <r>
    <n v="1130"/>
    <x v="70"/>
    <x v="1"/>
    <x v="1"/>
    <x v="2"/>
    <n v="6"/>
    <n v="15000"/>
    <n v="90000"/>
  </r>
  <r>
    <n v="1131"/>
    <x v="74"/>
    <x v="6"/>
    <x v="3"/>
    <x v="3"/>
    <n v="2"/>
    <n v="4500"/>
    <n v="9000"/>
  </r>
  <r>
    <n v="1132"/>
    <x v="43"/>
    <x v="9"/>
    <x v="3"/>
    <x v="1"/>
    <n v="4"/>
    <n v="8000"/>
    <n v="32000"/>
  </r>
  <r>
    <n v="1133"/>
    <x v="91"/>
    <x v="0"/>
    <x v="0"/>
    <x v="2"/>
    <n v="8"/>
    <n v="18000"/>
    <n v="144000"/>
  </r>
  <r>
    <n v="1134"/>
    <x v="50"/>
    <x v="4"/>
    <x v="1"/>
    <x v="0"/>
    <n v="2"/>
    <n v="50000"/>
    <n v="100000"/>
  </r>
  <r>
    <n v="1135"/>
    <x v="92"/>
    <x v="3"/>
    <x v="2"/>
    <x v="2"/>
    <n v="1"/>
    <n v="1200"/>
    <n v="1200"/>
  </r>
  <r>
    <n v="1136"/>
    <x v="93"/>
    <x v="1"/>
    <x v="1"/>
    <x v="3"/>
    <n v="4"/>
    <n v="15000"/>
    <n v="60000"/>
  </r>
  <r>
    <n v="1137"/>
    <x v="49"/>
    <x v="8"/>
    <x v="2"/>
    <x v="1"/>
    <n v="8"/>
    <n v="600"/>
    <n v="4800"/>
  </r>
  <r>
    <n v="1138"/>
    <x v="94"/>
    <x v="5"/>
    <x v="1"/>
    <x v="2"/>
    <n v="8"/>
    <n v="3200"/>
    <n v="25600"/>
  </r>
  <r>
    <n v="1139"/>
    <x v="95"/>
    <x v="2"/>
    <x v="1"/>
    <x v="2"/>
    <n v="6"/>
    <n v="2500"/>
    <n v="15000"/>
  </r>
  <r>
    <n v="1140"/>
    <x v="96"/>
    <x v="6"/>
    <x v="3"/>
    <x v="2"/>
    <n v="3"/>
    <n v="4500"/>
    <n v="13500"/>
  </r>
  <r>
    <n v="1141"/>
    <x v="97"/>
    <x v="5"/>
    <x v="1"/>
    <x v="3"/>
    <n v="4"/>
    <n v="3200"/>
    <n v="12800"/>
  </r>
  <r>
    <n v="1142"/>
    <x v="98"/>
    <x v="7"/>
    <x v="0"/>
    <x v="1"/>
    <n v="3"/>
    <n v="120"/>
    <n v="360"/>
  </r>
  <r>
    <n v="1143"/>
    <x v="99"/>
    <x v="1"/>
    <x v="1"/>
    <x v="1"/>
    <n v="5"/>
    <n v="15000"/>
    <n v="75000"/>
  </r>
  <r>
    <n v="1144"/>
    <x v="100"/>
    <x v="7"/>
    <x v="0"/>
    <x v="0"/>
    <n v="6"/>
    <n v="120"/>
    <n v="720"/>
  </r>
  <r>
    <n v="1145"/>
    <x v="101"/>
    <x v="3"/>
    <x v="2"/>
    <x v="2"/>
    <n v="5"/>
    <n v="1200"/>
    <n v="6000"/>
  </r>
  <r>
    <n v="1146"/>
    <x v="35"/>
    <x v="9"/>
    <x v="3"/>
    <x v="2"/>
    <n v="4"/>
    <n v="8000"/>
    <n v="32000"/>
  </r>
  <r>
    <n v="1147"/>
    <x v="102"/>
    <x v="6"/>
    <x v="3"/>
    <x v="2"/>
    <n v="8"/>
    <n v="4500"/>
    <n v="36000"/>
  </r>
  <r>
    <n v="1148"/>
    <x v="37"/>
    <x v="1"/>
    <x v="1"/>
    <x v="1"/>
    <n v="7"/>
    <n v="15000"/>
    <n v="105000"/>
  </r>
  <r>
    <n v="1149"/>
    <x v="18"/>
    <x v="2"/>
    <x v="1"/>
    <x v="1"/>
    <n v="6"/>
    <n v="2500"/>
    <n v="15000"/>
  </r>
  <r>
    <n v="1150"/>
    <x v="81"/>
    <x v="4"/>
    <x v="1"/>
    <x v="1"/>
    <n v="4"/>
    <n v="50000"/>
    <n v="200000"/>
  </r>
  <r>
    <n v="1151"/>
    <x v="39"/>
    <x v="2"/>
    <x v="1"/>
    <x v="2"/>
    <n v="2"/>
    <n v="2500"/>
    <n v="5000"/>
  </r>
  <r>
    <n v="1152"/>
    <x v="24"/>
    <x v="2"/>
    <x v="1"/>
    <x v="2"/>
    <n v="2"/>
    <n v="2500"/>
    <n v="5000"/>
  </r>
  <r>
    <n v="1153"/>
    <x v="96"/>
    <x v="4"/>
    <x v="1"/>
    <x v="3"/>
    <n v="4"/>
    <n v="50000"/>
    <n v="200000"/>
  </r>
  <r>
    <n v="1154"/>
    <x v="9"/>
    <x v="9"/>
    <x v="3"/>
    <x v="2"/>
    <n v="4"/>
    <n v="8000"/>
    <n v="32000"/>
  </r>
  <r>
    <n v="1155"/>
    <x v="54"/>
    <x v="2"/>
    <x v="1"/>
    <x v="3"/>
    <n v="3"/>
    <n v="2500"/>
    <n v="7500"/>
  </r>
  <r>
    <n v="1156"/>
    <x v="103"/>
    <x v="3"/>
    <x v="2"/>
    <x v="3"/>
    <n v="6"/>
    <n v="1200"/>
    <n v="7200"/>
  </r>
  <r>
    <n v="1157"/>
    <x v="76"/>
    <x v="4"/>
    <x v="1"/>
    <x v="2"/>
    <n v="2"/>
    <n v="50000"/>
    <n v="100000"/>
  </r>
  <r>
    <n v="1158"/>
    <x v="104"/>
    <x v="0"/>
    <x v="0"/>
    <x v="3"/>
    <n v="4"/>
    <n v="18000"/>
    <n v="72000"/>
  </r>
  <r>
    <n v="1159"/>
    <x v="48"/>
    <x v="4"/>
    <x v="1"/>
    <x v="0"/>
    <n v="8"/>
    <n v="50000"/>
    <n v="400000"/>
  </r>
  <r>
    <n v="1160"/>
    <x v="105"/>
    <x v="1"/>
    <x v="1"/>
    <x v="3"/>
    <n v="4"/>
    <n v="15000"/>
    <n v="60000"/>
  </r>
  <r>
    <n v="1161"/>
    <x v="106"/>
    <x v="8"/>
    <x v="2"/>
    <x v="1"/>
    <n v="4"/>
    <n v="600"/>
    <n v="2400"/>
  </r>
  <r>
    <n v="1162"/>
    <x v="36"/>
    <x v="1"/>
    <x v="1"/>
    <x v="0"/>
    <n v="1"/>
    <n v="15000"/>
    <n v="15000"/>
  </r>
  <r>
    <n v="1163"/>
    <x v="107"/>
    <x v="8"/>
    <x v="2"/>
    <x v="1"/>
    <n v="8"/>
    <n v="600"/>
    <n v="4800"/>
  </r>
  <r>
    <n v="1164"/>
    <x v="86"/>
    <x v="3"/>
    <x v="2"/>
    <x v="2"/>
    <n v="4"/>
    <n v="1200"/>
    <n v="4800"/>
  </r>
  <r>
    <n v="1165"/>
    <x v="29"/>
    <x v="5"/>
    <x v="1"/>
    <x v="1"/>
    <n v="2"/>
    <n v="3200"/>
    <n v="6400"/>
  </r>
  <r>
    <n v="1166"/>
    <x v="108"/>
    <x v="0"/>
    <x v="0"/>
    <x v="0"/>
    <n v="5"/>
    <n v="18000"/>
    <n v="90000"/>
  </r>
  <r>
    <n v="1167"/>
    <x v="69"/>
    <x v="3"/>
    <x v="2"/>
    <x v="3"/>
    <n v="6"/>
    <n v="1200"/>
    <n v="7200"/>
  </r>
  <r>
    <n v="1168"/>
    <x v="72"/>
    <x v="8"/>
    <x v="2"/>
    <x v="3"/>
    <n v="7"/>
    <n v="600"/>
    <n v="4200"/>
  </r>
  <r>
    <n v="1169"/>
    <x v="109"/>
    <x v="5"/>
    <x v="1"/>
    <x v="0"/>
    <n v="3"/>
    <n v="3200"/>
    <n v="9600"/>
  </r>
  <r>
    <n v="1170"/>
    <x v="0"/>
    <x v="6"/>
    <x v="3"/>
    <x v="2"/>
    <n v="6"/>
    <n v="4500"/>
    <n v="27000"/>
  </r>
  <r>
    <n v="1171"/>
    <x v="51"/>
    <x v="0"/>
    <x v="0"/>
    <x v="2"/>
    <n v="6"/>
    <n v="18000"/>
    <n v="108000"/>
  </r>
  <r>
    <n v="1172"/>
    <x v="35"/>
    <x v="7"/>
    <x v="0"/>
    <x v="0"/>
    <n v="5"/>
    <n v="120"/>
    <n v="600"/>
  </r>
  <r>
    <n v="1173"/>
    <x v="108"/>
    <x v="2"/>
    <x v="1"/>
    <x v="3"/>
    <n v="4"/>
    <n v="2500"/>
    <n v="10000"/>
  </r>
  <r>
    <n v="1174"/>
    <x v="110"/>
    <x v="4"/>
    <x v="1"/>
    <x v="1"/>
    <n v="4"/>
    <n v="50000"/>
    <n v="200000"/>
  </r>
  <r>
    <n v="1175"/>
    <x v="68"/>
    <x v="7"/>
    <x v="0"/>
    <x v="0"/>
    <n v="1"/>
    <n v="120"/>
    <n v="120"/>
  </r>
  <r>
    <n v="1176"/>
    <x v="42"/>
    <x v="7"/>
    <x v="0"/>
    <x v="3"/>
    <n v="4"/>
    <n v="120"/>
    <n v="480"/>
  </r>
  <r>
    <n v="1177"/>
    <x v="111"/>
    <x v="5"/>
    <x v="1"/>
    <x v="1"/>
    <n v="4"/>
    <n v="3200"/>
    <n v="12800"/>
  </r>
  <r>
    <n v="1178"/>
    <x v="112"/>
    <x v="5"/>
    <x v="1"/>
    <x v="3"/>
    <n v="2"/>
    <n v="3200"/>
    <n v="6400"/>
  </r>
  <r>
    <n v="1179"/>
    <x v="81"/>
    <x v="6"/>
    <x v="3"/>
    <x v="1"/>
    <n v="4"/>
    <n v="4500"/>
    <n v="18000"/>
  </r>
  <r>
    <n v="1180"/>
    <x v="88"/>
    <x v="4"/>
    <x v="1"/>
    <x v="0"/>
    <n v="8"/>
    <n v="50000"/>
    <n v="400000"/>
  </r>
  <r>
    <n v="1181"/>
    <x v="92"/>
    <x v="4"/>
    <x v="1"/>
    <x v="1"/>
    <n v="7"/>
    <n v="50000"/>
    <n v="350000"/>
  </r>
  <r>
    <n v="1182"/>
    <x v="113"/>
    <x v="7"/>
    <x v="0"/>
    <x v="0"/>
    <n v="7"/>
    <n v="120"/>
    <n v="840"/>
  </r>
  <r>
    <n v="1183"/>
    <x v="14"/>
    <x v="3"/>
    <x v="2"/>
    <x v="1"/>
    <n v="6"/>
    <n v="1200"/>
    <n v="7200"/>
  </r>
  <r>
    <n v="1184"/>
    <x v="15"/>
    <x v="0"/>
    <x v="0"/>
    <x v="1"/>
    <n v="2"/>
    <n v="18000"/>
    <n v="36000"/>
  </r>
  <r>
    <n v="1185"/>
    <x v="87"/>
    <x v="5"/>
    <x v="1"/>
    <x v="0"/>
    <n v="6"/>
    <n v="3200"/>
    <n v="19200"/>
  </r>
  <r>
    <n v="1186"/>
    <x v="114"/>
    <x v="8"/>
    <x v="2"/>
    <x v="3"/>
    <n v="7"/>
    <n v="600"/>
    <n v="4200"/>
  </r>
  <r>
    <n v="1187"/>
    <x v="62"/>
    <x v="6"/>
    <x v="3"/>
    <x v="3"/>
    <n v="6"/>
    <n v="4500"/>
    <n v="27000"/>
  </r>
  <r>
    <n v="1188"/>
    <x v="93"/>
    <x v="3"/>
    <x v="2"/>
    <x v="3"/>
    <n v="6"/>
    <n v="1200"/>
    <n v="7200"/>
  </r>
  <r>
    <n v="1189"/>
    <x v="115"/>
    <x v="7"/>
    <x v="0"/>
    <x v="3"/>
    <n v="3"/>
    <n v="120"/>
    <n v="360"/>
  </r>
  <r>
    <n v="1190"/>
    <x v="98"/>
    <x v="6"/>
    <x v="3"/>
    <x v="2"/>
    <n v="5"/>
    <n v="4500"/>
    <n v="22500"/>
  </r>
  <r>
    <n v="1191"/>
    <x v="116"/>
    <x v="6"/>
    <x v="3"/>
    <x v="3"/>
    <n v="7"/>
    <n v="4500"/>
    <n v="31500"/>
  </r>
  <r>
    <n v="1192"/>
    <x v="11"/>
    <x v="5"/>
    <x v="1"/>
    <x v="3"/>
    <n v="8"/>
    <n v="3200"/>
    <n v="25600"/>
  </r>
  <r>
    <n v="1193"/>
    <x v="40"/>
    <x v="2"/>
    <x v="1"/>
    <x v="3"/>
    <n v="2"/>
    <n v="2500"/>
    <n v="5000"/>
  </r>
  <r>
    <n v="1194"/>
    <x v="117"/>
    <x v="3"/>
    <x v="2"/>
    <x v="3"/>
    <n v="6"/>
    <n v="1200"/>
    <n v="7200"/>
  </r>
  <r>
    <n v="1195"/>
    <x v="118"/>
    <x v="0"/>
    <x v="0"/>
    <x v="2"/>
    <n v="2"/>
    <n v="18000"/>
    <n v="36000"/>
  </r>
  <r>
    <n v="1196"/>
    <x v="119"/>
    <x v="3"/>
    <x v="2"/>
    <x v="0"/>
    <n v="7"/>
    <n v="1200"/>
    <n v="8400"/>
  </r>
  <r>
    <n v="1197"/>
    <x v="120"/>
    <x v="1"/>
    <x v="1"/>
    <x v="3"/>
    <n v="6"/>
    <n v="15000"/>
    <n v="90000"/>
  </r>
  <r>
    <n v="1198"/>
    <x v="48"/>
    <x v="4"/>
    <x v="1"/>
    <x v="0"/>
    <n v="5"/>
    <n v="50000"/>
    <n v="250000"/>
  </r>
  <r>
    <n v="1199"/>
    <x v="2"/>
    <x v="6"/>
    <x v="3"/>
    <x v="3"/>
    <n v="4"/>
    <n v="4500"/>
    <n v="18000"/>
  </r>
  <r>
    <n v="1200"/>
    <x v="28"/>
    <x v="2"/>
    <x v="1"/>
    <x v="3"/>
    <n v="8"/>
    <n v="2500"/>
    <n v="20000"/>
  </r>
  <r>
    <n v="1201"/>
    <x v="91"/>
    <x v="7"/>
    <x v="0"/>
    <x v="3"/>
    <n v="4"/>
    <n v="120"/>
    <n v="480"/>
  </r>
  <r>
    <n v="1202"/>
    <x v="24"/>
    <x v="2"/>
    <x v="1"/>
    <x v="2"/>
    <n v="5"/>
    <n v="2500"/>
    <n v="12500"/>
  </r>
  <r>
    <n v="1203"/>
    <x v="71"/>
    <x v="9"/>
    <x v="3"/>
    <x v="3"/>
    <n v="1"/>
    <n v="8000"/>
    <n v="8000"/>
  </r>
  <r>
    <n v="1204"/>
    <x v="96"/>
    <x v="0"/>
    <x v="0"/>
    <x v="0"/>
    <n v="4"/>
    <n v="18000"/>
    <n v="72000"/>
  </r>
  <r>
    <n v="1205"/>
    <x v="15"/>
    <x v="3"/>
    <x v="2"/>
    <x v="2"/>
    <n v="3"/>
    <n v="1200"/>
    <n v="3600"/>
  </r>
  <r>
    <n v="1206"/>
    <x v="34"/>
    <x v="3"/>
    <x v="2"/>
    <x v="3"/>
    <n v="2"/>
    <n v="1200"/>
    <n v="2400"/>
  </r>
  <r>
    <n v="1207"/>
    <x v="1"/>
    <x v="6"/>
    <x v="3"/>
    <x v="3"/>
    <n v="7"/>
    <n v="4500"/>
    <n v="31500"/>
  </r>
  <r>
    <n v="1208"/>
    <x v="95"/>
    <x v="5"/>
    <x v="1"/>
    <x v="0"/>
    <n v="7"/>
    <n v="3200"/>
    <n v="22400"/>
  </r>
  <r>
    <n v="1209"/>
    <x v="83"/>
    <x v="6"/>
    <x v="3"/>
    <x v="2"/>
    <n v="3"/>
    <n v="4500"/>
    <n v="13500"/>
  </r>
  <r>
    <n v="1210"/>
    <x v="96"/>
    <x v="7"/>
    <x v="0"/>
    <x v="1"/>
    <n v="1"/>
    <n v="120"/>
    <n v="120"/>
  </r>
  <r>
    <n v="1211"/>
    <x v="49"/>
    <x v="3"/>
    <x v="2"/>
    <x v="2"/>
    <n v="2"/>
    <n v="1200"/>
    <n v="2400"/>
  </r>
  <r>
    <n v="1212"/>
    <x v="118"/>
    <x v="3"/>
    <x v="2"/>
    <x v="0"/>
    <n v="4"/>
    <n v="1200"/>
    <n v="4800"/>
  </r>
  <r>
    <n v="1213"/>
    <x v="100"/>
    <x v="2"/>
    <x v="1"/>
    <x v="1"/>
    <n v="4"/>
    <n v="2500"/>
    <n v="10000"/>
  </r>
  <r>
    <n v="1214"/>
    <x v="77"/>
    <x v="5"/>
    <x v="1"/>
    <x v="2"/>
    <n v="1"/>
    <n v="3200"/>
    <n v="3200"/>
  </r>
  <r>
    <n v="1215"/>
    <x v="121"/>
    <x v="3"/>
    <x v="2"/>
    <x v="0"/>
    <n v="2"/>
    <n v="1200"/>
    <n v="2400"/>
  </r>
  <r>
    <n v="1216"/>
    <x v="2"/>
    <x v="4"/>
    <x v="1"/>
    <x v="0"/>
    <n v="4"/>
    <n v="50000"/>
    <n v="200000"/>
  </r>
  <r>
    <n v="1217"/>
    <x v="59"/>
    <x v="3"/>
    <x v="2"/>
    <x v="2"/>
    <n v="8"/>
    <n v="1200"/>
    <n v="9600"/>
  </r>
  <r>
    <n v="1218"/>
    <x v="76"/>
    <x v="2"/>
    <x v="1"/>
    <x v="2"/>
    <n v="7"/>
    <n v="2500"/>
    <n v="17500"/>
  </r>
  <r>
    <n v="1219"/>
    <x v="0"/>
    <x v="7"/>
    <x v="0"/>
    <x v="0"/>
    <n v="2"/>
    <n v="120"/>
    <n v="240"/>
  </r>
  <r>
    <n v="1220"/>
    <x v="122"/>
    <x v="7"/>
    <x v="0"/>
    <x v="3"/>
    <n v="2"/>
    <n v="120"/>
    <n v="240"/>
  </r>
  <r>
    <n v="1221"/>
    <x v="76"/>
    <x v="1"/>
    <x v="1"/>
    <x v="3"/>
    <n v="3"/>
    <n v="15000"/>
    <n v="45000"/>
  </r>
  <r>
    <n v="1222"/>
    <x v="98"/>
    <x v="4"/>
    <x v="1"/>
    <x v="1"/>
    <n v="7"/>
    <n v="50000"/>
    <n v="350000"/>
  </r>
  <r>
    <n v="1223"/>
    <x v="85"/>
    <x v="2"/>
    <x v="1"/>
    <x v="0"/>
    <n v="1"/>
    <n v="2500"/>
    <n v="2500"/>
  </r>
  <r>
    <n v="1224"/>
    <x v="71"/>
    <x v="4"/>
    <x v="1"/>
    <x v="3"/>
    <n v="5"/>
    <n v="50000"/>
    <n v="250000"/>
  </r>
  <r>
    <n v="1225"/>
    <x v="123"/>
    <x v="0"/>
    <x v="0"/>
    <x v="1"/>
    <n v="1"/>
    <n v="18000"/>
    <n v="18000"/>
  </r>
  <r>
    <n v="1226"/>
    <x v="57"/>
    <x v="2"/>
    <x v="1"/>
    <x v="0"/>
    <n v="7"/>
    <n v="2500"/>
    <n v="17500"/>
  </r>
  <r>
    <n v="1227"/>
    <x v="124"/>
    <x v="9"/>
    <x v="3"/>
    <x v="3"/>
    <n v="4"/>
    <n v="8000"/>
    <n v="32000"/>
  </r>
  <r>
    <n v="1228"/>
    <x v="125"/>
    <x v="5"/>
    <x v="1"/>
    <x v="2"/>
    <n v="1"/>
    <n v="3200"/>
    <n v="3200"/>
  </r>
  <r>
    <n v="1229"/>
    <x v="69"/>
    <x v="1"/>
    <x v="1"/>
    <x v="2"/>
    <n v="5"/>
    <n v="15000"/>
    <n v="75000"/>
  </r>
  <r>
    <n v="1230"/>
    <x v="118"/>
    <x v="7"/>
    <x v="0"/>
    <x v="3"/>
    <n v="7"/>
    <n v="120"/>
    <n v="840"/>
  </r>
  <r>
    <n v="1231"/>
    <x v="27"/>
    <x v="6"/>
    <x v="3"/>
    <x v="3"/>
    <n v="8"/>
    <n v="4500"/>
    <n v="36000"/>
  </r>
  <r>
    <n v="1232"/>
    <x v="92"/>
    <x v="3"/>
    <x v="2"/>
    <x v="0"/>
    <n v="6"/>
    <n v="1200"/>
    <n v="7200"/>
  </r>
  <r>
    <n v="1233"/>
    <x v="53"/>
    <x v="3"/>
    <x v="2"/>
    <x v="2"/>
    <n v="1"/>
    <n v="1200"/>
    <n v="1200"/>
  </r>
  <r>
    <n v="1234"/>
    <x v="126"/>
    <x v="8"/>
    <x v="2"/>
    <x v="0"/>
    <n v="4"/>
    <n v="600"/>
    <n v="2400"/>
  </r>
  <r>
    <n v="1235"/>
    <x v="15"/>
    <x v="9"/>
    <x v="3"/>
    <x v="1"/>
    <n v="7"/>
    <n v="8000"/>
    <n v="56000"/>
  </r>
  <r>
    <n v="1236"/>
    <x v="48"/>
    <x v="4"/>
    <x v="1"/>
    <x v="0"/>
    <n v="7"/>
    <n v="50000"/>
    <n v="350000"/>
  </r>
  <r>
    <n v="1237"/>
    <x v="21"/>
    <x v="8"/>
    <x v="2"/>
    <x v="1"/>
    <n v="2"/>
    <n v="600"/>
    <n v="1200"/>
  </r>
  <r>
    <n v="1238"/>
    <x v="127"/>
    <x v="0"/>
    <x v="0"/>
    <x v="2"/>
    <n v="8"/>
    <n v="18000"/>
    <n v="144000"/>
  </r>
  <r>
    <n v="1239"/>
    <x v="21"/>
    <x v="2"/>
    <x v="1"/>
    <x v="3"/>
    <n v="3"/>
    <n v="2500"/>
    <n v="7500"/>
  </r>
  <r>
    <n v="1240"/>
    <x v="83"/>
    <x v="9"/>
    <x v="3"/>
    <x v="1"/>
    <n v="3"/>
    <n v="8000"/>
    <n v="24000"/>
  </r>
  <r>
    <n v="1241"/>
    <x v="90"/>
    <x v="7"/>
    <x v="0"/>
    <x v="0"/>
    <n v="3"/>
    <n v="120"/>
    <n v="360"/>
  </r>
  <r>
    <n v="1242"/>
    <x v="65"/>
    <x v="6"/>
    <x v="3"/>
    <x v="2"/>
    <n v="4"/>
    <n v="4500"/>
    <n v="18000"/>
  </r>
  <r>
    <n v="1243"/>
    <x v="128"/>
    <x v="7"/>
    <x v="0"/>
    <x v="3"/>
    <n v="6"/>
    <n v="120"/>
    <n v="720"/>
  </r>
  <r>
    <n v="1244"/>
    <x v="129"/>
    <x v="7"/>
    <x v="0"/>
    <x v="0"/>
    <n v="8"/>
    <n v="120"/>
    <n v="960"/>
  </r>
  <r>
    <n v="1245"/>
    <x v="28"/>
    <x v="0"/>
    <x v="0"/>
    <x v="2"/>
    <n v="2"/>
    <n v="18000"/>
    <n v="36000"/>
  </r>
  <r>
    <n v="1246"/>
    <x v="130"/>
    <x v="1"/>
    <x v="1"/>
    <x v="1"/>
    <n v="1"/>
    <n v="15000"/>
    <n v="15000"/>
  </r>
  <r>
    <n v="1247"/>
    <x v="103"/>
    <x v="3"/>
    <x v="2"/>
    <x v="1"/>
    <n v="2"/>
    <n v="1200"/>
    <n v="2400"/>
  </r>
  <r>
    <n v="1248"/>
    <x v="22"/>
    <x v="5"/>
    <x v="1"/>
    <x v="0"/>
    <n v="7"/>
    <n v="3200"/>
    <n v="22400"/>
  </r>
  <r>
    <n v="1249"/>
    <x v="3"/>
    <x v="0"/>
    <x v="0"/>
    <x v="3"/>
    <n v="7"/>
    <n v="18000"/>
    <n v="126000"/>
  </r>
  <r>
    <n v="1250"/>
    <x v="131"/>
    <x v="6"/>
    <x v="3"/>
    <x v="0"/>
    <n v="7"/>
    <n v="4500"/>
    <n v="31500"/>
  </r>
  <r>
    <n v="1251"/>
    <x v="113"/>
    <x v="0"/>
    <x v="0"/>
    <x v="1"/>
    <n v="4"/>
    <n v="18000"/>
    <n v="72000"/>
  </r>
  <r>
    <n v="1252"/>
    <x v="12"/>
    <x v="7"/>
    <x v="0"/>
    <x v="0"/>
    <n v="3"/>
    <n v="120"/>
    <n v="360"/>
  </r>
  <r>
    <n v="1253"/>
    <x v="17"/>
    <x v="6"/>
    <x v="3"/>
    <x v="0"/>
    <n v="3"/>
    <n v="4500"/>
    <n v="13500"/>
  </r>
  <r>
    <n v="1254"/>
    <x v="123"/>
    <x v="3"/>
    <x v="2"/>
    <x v="3"/>
    <n v="7"/>
    <n v="1200"/>
    <n v="8400"/>
  </r>
  <r>
    <n v="1255"/>
    <x v="132"/>
    <x v="9"/>
    <x v="3"/>
    <x v="2"/>
    <n v="7"/>
    <n v="8000"/>
    <n v="56000"/>
  </r>
  <r>
    <n v="1256"/>
    <x v="51"/>
    <x v="9"/>
    <x v="3"/>
    <x v="1"/>
    <n v="7"/>
    <n v="8000"/>
    <n v="56000"/>
  </r>
  <r>
    <n v="1257"/>
    <x v="69"/>
    <x v="1"/>
    <x v="1"/>
    <x v="2"/>
    <n v="3"/>
    <n v="15000"/>
    <n v="45000"/>
  </r>
  <r>
    <n v="1258"/>
    <x v="40"/>
    <x v="8"/>
    <x v="2"/>
    <x v="0"/>
    <n v="1"/>
    <n v="600"/>
    <n v="600"/>
  </r>
  <r>
    <n v="1259"/>
    <x v="133"/>
    <x v="0"/>
    <x v="0"/>
    <x v="0"/>
    <n v="3"/>
    <n v="18000"/>
    <n v="54000"/>
  </r>
  <r>
    <n v="1260"/>
    <x v="50"/>
    <x v="9"/>
    <x v="3"/>
    <x v="3"/>
    <n v="1"/>
    <n v="8000"/>
    <n v="8000"/>
  </r>
  <r>
    <n v="1261"/>
    <x v="7"/>
    <x v="7"/>
    <x v="0"/>
    <x v="1"/>
    <n v="8"/>
    <n v="120"/>
    <n v="960"/>
  </r>
  <r>
    <n v="1262"/>
    <x v="5"/>
    <x v="8"/>
    <x v="2"/>
    <x v="1"/>
    <n v="8"/>
    <n v="600"/>
    <n v="4800"/>
  </r>
  <r>
    <n v="1263"/>
    <x v="105"/>
    <x v="3"/>
    <x v="2"/>
    <x v="1"/>
    <n v="1"/>
    <n v="1200"/>
    <n v="1200"/>
  </r>
  <r>
    <n v="1264"/>
    <x v="61"/>
    <x v="1"/>
    <x v="1"/>
    <x v="2"/>
    <n v="3"/>
    <n v="15000"/>
    <n v="45000"/>
  </r>
  <r>
    <n v="1265"/>
    <x v="47"/>
    <x v="5"/>
    <x v="1"/>
    <x v="2"/>
    <n v="1"/>
    <n v="3200"/>
    <n v="3200"/>
  </r>
  <r>
    <n v="1266"/>
    <x v="134"/>
    <x v="8"/>
    <x v="2"/>
    <x v="2"/>
    <n v="3"/>
    <n v="600"/>
    <n v="1800"/>
  </r>
  <r>
    <n v="1267"/>
    <x v="124"/>
    <x v="6"/>
    <x v="3"/>
    <x v="1"/>
    <n v="1"/>
    <n v="4500"/>
    <n v="4500"/>
  </r>
  <r>
    <n v="1268"/>
    <x v="135"/>
    <x v="2"/>
    <x v="1"/>
    <x v="0"/>
    <n v="5"/>
    <n v="2500"/>
    <n v="12500"/>
  </r>
  <r>
    <n v="1269"/>
    <x v="22"/>
    <x v="9"/>
    <x v="3"/>
    <x v="1"/>
    <n v="7"/>
    <n v="8000"/>
    <n v="56000"/>
  </r>
  <r>
    <n v="1270"/>
    <x v="8"/>
    <x v="6"/>
    <x v="3"/>
    <x v="2"/>
    <n v="1"/>
    <n v="4500"/>
    <n v="4500"/>
  </r>
  <r>
    <n v="1271"/>
    <x v="84"/>
    <x v="0"/>
    <x v="0"/>
    <x v="0"/>
    <n v="3"/>
    <n v="18000"/>
    <n v="54000"/>
  </r>
  <r>
    <n v="1272"/>
    <x v="65"/>
    <x v="2"/>
    <x v="1"/>
    <x v="0"/>
    <n v="6"/>
    <n v="2500"/>
    <n v="15000"/>
  </r>
  <r>
    <n v="1273"/>
    <x v="77"/>
    <x v="6"/>
    <x v="3"/>
    <x v="2"/>
    <n v="5"/>
    <n v="4500"/>
    <n v="22500"/>
  </r>
  <r>
    <n v="1274"/>
    <x v="10"/>
    <x v="4"/>
    <x v="1"/>
    <x v="1"/>
    <n v="1"/>
    <n v="50000"/>
    <n v="50000"/>
  </r>
  <r>
    <n v="1275"/>
    <x v="0"/>
    <x v="3"/>
    <x v="2"/>
    <x v="0"/>
    <n v="3"/>
    <n v="1200"/>
    <n v="3600"/>
  </r>
  <r>
    <n v="1276"/>
    <x v="131"/>
    <x v="2"/>
    <x v="1"/>
    <x v="2"/>
    <n v="8"/>
    <n v="2500"/>
    <n v="20000"/>
  </r>
  <r>
    <n v="1277"/>
    <x v="103"/>
    <x v="0"/>
    <x v="0"/>
    <x v="3"/>
    <n v="1"/>
    <n v="18000"/>
    <n v="18000"/>
  </r>
  <r>
    <n v="1278"/>
    <x v="34"/>
    <x v="8"/>
    <x v="2"/>
    <x v="1"/>
    <n v="5"/>
    <n v="600"/>
    <n v="3000"/>
  </r>
  <r>
    <n v="1279"/>
    <x v="136"/>
    <x v="1"/>
    <x v="1"/>
    <x v="1"/>
    <n v="4"/>
    <n v="15000"/>
    <n v="60000"/>
  </r>
  <r>
    <n v="1280"/>
    <x v="37"/>
    <x v="3"/>
    <x v="2"/>
    <x v="3"/>
    <n v="8"/>
    <n v="1200"/>
    <n v="9600"/>
  </r>
  <r>
    <n v="1281"/>
    <x v="137"/>
    <x v="1"/>
    <x v="1"/>
    <x v="3"/>
    <n v="7"/>
    <n v="15000"/>
    <n v="105000"/>
  </r>
  <r>
    <n v="1282"/>
    <x v="93"/>
    <x v="6"/>
    <x v="3"/>
    <x v="1"/>
    <n v="3"/>
    <n v="4500"/>
    <n v="13500"/>
  </r>
  <r>
    <n v="1283"/>
    <x v="61"/>
    <x v="4"/>
    <x v="1"/>
    <x v="1"/>
    <n v="2"/>
    <n v="50000"/>
    <n v="100000"/>
  </r>
  <r>
    <n v="1284"/>
    <x v="138"/>
    <x v="4"/>
    <x v="1"/>
    <x v="1"/>
    <n v="6"/>
    <n v="50000"/>
    <n v="300000"/>
  </r>
  <r>
    <n v="1285"/>
    <x v="107"/>
    <x v="7"/>
    <x v="0"/>
    <x v="3"/>
    <n v="1"/>
    <n v="120"/>
    <n v="120"/>
  </r>
  <r>
    <n v="1286"/>
    <x v="48"/>
    <x v="4"/>
    <x v="1"/>
    <x v="1"/>
    <n v="7"/>
    <n v="50000"/>
    <n v="350000"/>
  </r>
  <r>
    <n v="1287"/>
    <x v="93"/>
    <x v="0"/>
    <x v="0"/>
    <x v="0"/>
    <n v="2"/>
    <n v="18000"/>
    <n v="36000"/>
  </r>
  <r>
    <n v="1288"/>
    <x v="139"/>
    <x v="7"/>
    <x v="0"/>
    <x v="3"/>
    <n v="3"/>
    <n v="120"/>
    <n v="360"/>
  </r>
  <r>
    <n v="1289"/>
    <x v="136"/>
    <x v="3"/>
    <x v="2"/>
    <x v="0"/>
    <n v="5"/>
    <n v="1200"/>
    <n v="6000"/>
  </r>
  <r>
    <n v="1290"/>
    <x v="94"/>
    <x v="1"/>
    <x v="1"/>
    <x v="1"/>
    <n v="5"/>
    <n v="15000"/>
    <n v="75000"/>
  </r>
  <r>
    <n v="1291"/>
    <x v="134"/>
    <x v="4"/>
    <x v="1"/>
    <x v="1"/>
    <n v="3"/>
    <n v="50000"/>
    <n v="150000"/>
  </r>
  <r>
    <n v="1292"/>
    <x v="140"/>
    <x v="4"/>
    <x v="1"/>
    <x v="2"/>
    <n v="6"/>
    <n v="50000"/>
    <n v="300000"/>
  </r>
  <r>
    <n v="1293"/>
    <x v="141"/>
    <x v="0"/>
    <x v="0"/>
    <x v="0"/>
    <n v="8"/>
    <n v="18000"/>
    <n v="144000"/>
  </r>
  <r>
    <n v="1294"/>
    <x v="142"/>
    <x v="0"/>
    <x v="0"/>
    <x v="1"/>
    <n v="5"/>
    <n v="18000"/>
    <n v="90000"/>
  </r>
  <r>
    <n v="1295"/>
    <x v="88"/>
    <x v="1"/>
    <x v="1"/>
    <x v="0"/>
    <n v="1"/>
    <n v="15000"/>
    <n v="15000"/>
  </r>
  <r>
    <n v="1296"/>
    <x v="117"/>
    <x v="4"/>
    <x v="1"/>
    <x v="3"/>
    <n v="5"/>
    <n v="50000"/>
    <n v="250000"/>
  </r>
  <r>
    <n v="1297"/>
    <x v="39"/>
    <x v="5"/>
    <x v="1"/>
    <x v="2"/>
    <n v="3"/>
    <n v="3200"/>
    <n v="9600"/>
  </r>
  <r>
    <n v="1298"/>
    <x v="143"/>
    <x v="0"/>
    <x v="0"/>
    <x v="2"/>
    <n v="7"/>
    <n v="18000"/>
    <n v="126000"/>
  </r>
  <r>
    <n v="1299"/>
    <x v="144"/>
    <x v="3"/>
    <x v="2"/>
    <x v="3"/>
    <n v="8"/>
    <n v="1200"/>
    <n v="9600"/>
  </r>
  <r>
    <n v="1300"/>
    <x v="118"/>
    <x v="0"/>
    <x v="0"/>
    <x v="1"/>
    <n v="3"/>
    <n v="18000"/>
    <n v="5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2EC09F-ABF2-4FAE-8CFC-9D78AA642CF0}" name="Quantity by product"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3:N34" firstHeaderRow="1" firstDataRow="1" firstDataCol="1"/>
  <pivotFields count="10">
    <pivotField showAll="0"/>
    <pivotField numFmtId="14"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axis="axisRow"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dataField="1" showAll="0"/>
    <pivotField showAll="0"/>
    <pivotField showAll="0"/>
    <pivotField showAll="0" defaultSubtotal="0"/>
    <pivotField showAll="0" defaultSubtotal="0">
      <items count="3">
        <item x="0"/>
        <item x="1"/>
        <item x="2"/>
      </items>
    </pivotField>
  </pivotFields>
  <rowFields count="1">
    <field x="2"/>
  </rowFields>
  <rowItems count="11">
    <i>
      <x/>
    </i>
    <i>
      <x v="1"/>
    </i>
    <i>
      <x v="2"/>
    </i>
    <i>
      <x v="3"/>
    </i>
    <i>
      <x v="4"/>
    </i>
    <i>
      <x v="5"/>
    </i>
    <i>
      <x v="6"/>
    </i>
    <i>
      <x v="7"/>
    </i>
    <i>
      <x v="8"/>
    </i>
    <i>
      <x v="9"/>
    </i>
    <i t="grand">
      <x/>
    </i>
  </rowItems>
  <colItems count="1">
    <i/>
  </colItems>
  <dataFields count="1">
    <dataField name="Sum of Quanti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F10FE8-806E-4E71-90A4-99ECD99F68F2}" name="Monthly revenu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0:N18"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9"/>
    <field x="8"/>
  </rowFields>
  <rowItems count="8">
    <i>
      <x v="1"/>
    </i>
    <i r="1">
      <x v="1"/>
    </i>
    <i r="1">
      <x v="2"/>
    </i>
    <i r="1">
      <x v="3"/>
    </i>
    <i r="1">
      <x v="4"/>
    </i>
    <i r="1">
      <x v="5"/>
    </i>
    <i r="1">
      <x v="6"/>
    </i>
    <i t="grand">
      <x/>
    </i>
  </rowItems>
  <colItems count="1">
    <i/>
  </colItems>
  <dataFields count="1">
    <dataField name="Sum of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8DD49-6EB7-4CE9-B941-13005636C1D1}" name="Revenue by categor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6:K21"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axis="axisRow" showAll="0">
      <items count="5">
        <item x="2"/>
        <item x="1"/>
        <item x="3"/>
        <item x="0"/>
        <item t="default"/>
      </items>
    </pivotField>
    <pivotField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6FEAC-4241-4F2D-9690-90BD2605A50A}" name="Revenue by region"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7"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showAll="0">
      <items count="5">
        <item x="2"/>
        <item x="1"/>
        <item x="3"/>
        <item x="0"/>
        <item t="default"/>
      </items>
    </pivotField>
    <pivotField axis="axisRow"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6264D-5679-4B37-9C9C-33A73AFBDDF1}" name="Revenue by product"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K13"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axis="axisRow"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6DAC67-BA77-48DD-B18B-0E95E14D29FC}" sourceName="Region">
  <pivotTables>
    <pivotTable tabId="1" name="Revenue by product"/>
    <pivotTable tabId="1" name="Monthly revenue"/>
    <pivotTable tabId="1" name="Quantity by product"/>
    <pivotTable tabId="1" name="Revenue by category"/>
    <pivotTable tabId="1" name="Revenue by region"/>
  </pivotTables>
  <data>
    <tabular pivotCacheId="132465632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76B925-A72C-47F4-8390-64070CCDC4BD}" sourceName="Category">
  <pivotTables>
    <pivotTable tabId="1" name="Revenue by product"/>
    <pivotTable tabId="1" name="Monthly revenue"/>
    <pivotTable tabId="1" name="Quantity by product"/>
    <pivotTable tabId="1" name="Revenue by category"/>
    <pivotTable tabId="1" name="Revenue by region"/>
  </pivotTables>
  <data>
    <tabular pivotCacheId="132465632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5863A3B-1461-4AD4-9381-DAC40ABE808F}" sourceName="Product">
  <pivotTables>
    <pivotTable tabId="1" name="Revenue by product"/>
    <pivotTable tabId="1" name="Monthly revenue"/>
    <pivotTable tabId="1" name="Quantity by product"/>
    <pivotTable tabId="1" name="Revenue by category"/>
    <pivotTable tabId="1" name="Revenue by region"/>
  </pivotTables>
  <data>
    <tabular pivotCacheId="1324656321">
      <items count="10">
        <i x="6" s="1"/>
        <i x="2" s="1"/>
        <i x="3" s="1"/>
        <i x="4" s="1"/>
        <i x="1" s="1"/>
        <i x="8" s="1"/>
        <i x="7"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2790B4-3B40-483E-8871-8D4D5D54962E}" cache="Slicer_Region" caption="Region" rowHeight="234950"/>
  <slicer name="Category" xr10:uid="{F506D21A-3F29-4F15-A136-4FCDD8E87F6E}" cache="Slicer_Category" caption="Category" rowHeight="234950"/>
  <slicer name="Product" xr10:uid="{1785B8A0-A3B8-4DC5-AD90-0A0F72DBE095}"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FC7C5-2868-4E3F-B64B-DD3D213D8517}" name="Table1" displayName="Table1" ref="A1:H301" totalsRowShown="0">
  <autoFilter ref="A1:H301" xr:uid="{DC0FC7C5-2868-4E3F-B64B-DD3D213D8517}"/>
  <tableColumns count="8">
    <tableColumn id="1" xr3:uid="{D8536D9B-2EE4-4F8D-A605-7E92C02C7D9D}" name="Order ID"/>
    <tableColumn id="2" xr3:uid="{F9B18A54-AFD1-4DC1-820B-7155225C7982}" name="Date"/>
    <tableColumn id="3" xr3:uid="{0F5F01C0-80AE-437F-B5A6-33087FF24C9F}" name="Product"/>
    <tableColumn id="4" xr3:uid="{0460A573-BAB9-4F0A-A259-083F02A4BD00}" name="Category"/>
    <tableColumn id="5" xr3:uid="{F7BF32F3-0417-49DD-A4C6-D4E53B949D36}" name="Region"/>
    <tableColumn id="6" xr3:uid="{73F79986-58A6-4C3D-987E-1C44DCDD391C}" name="Quantity"/>
    <tableColumn id="7" xr3:uid="{E6397B6E-97D2-4083-A3F5-D7E8FC819F92}" name="Price"/>
    <tableColumn id="8" xr3:uid="{01AE657A-7505-44E1-8FFF-0C2A34A91A94}"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workbookViewId="0">
      <selection activeCell="J4" sqref="J4:K4"/>
      <pivotSelection pane="bottomRight" showHeader="1" extendable="1" start="1" max="11" activeRow="3" activeCol="9" click="1" r:id="rId5">
        <pivotArea dataOnly="0" fieldPosition="0">
          <references count="1">
            <reference field="2" count="1">
              <x v="1"/>
            </reference>
          </references>
        </pivotArea>
      </pivotSelection>
    </sheetView>
  </sheetViews>
  <sheetFormatPr defaultRowHeight="14.4" x14ac:dyDescent="0.3"/>
  <cols>
    <col min="1" max="1" width="9.88671875" customWidth="1"/>
    <col min="2" max="2" width="10.88671875" customWidth="1"/>
    <col min="3" max="3" width="9.5546875" customWidth="1"/>
    <col min="4" max="4" width="10.44140625" customWidth="1"/>
    <col min="6" max="6" width="10.21875" customWidth="1"/>
    <col min="8" max="8" width="10.21875" customWidth="1"/>
    <col min="10" max="10" width="12.5546875" bestFit="1" customWidth="1"/>
    <col min="11" max="11" width="14.88671875" bestFit="1" customWidth="1"/>
    <col min="13" max="13" width="12.5546875" bestFit="1" customWidth="1"/>
    <col min="14" max="14" width="14.88671875" bestFit="1" customWidth="1"/>
  </cols>
  <sheetData>
    <row r="1" spans="1:14" x14ac:dyDescent="0.3">
      <c r="A1" t="s">
        <v>0</v>
      </c>
      <c r="B1" t="s">
        <v>1</v>
      </c>
      <c r="C1" t="s">
        <v>2</v>
      </c>
      <c r="D1" t="s">
        <v>3</v>
      </c>
      <c r="E1" t="s">
        <v>4</v>
      </c>
      <c r="F1" t="s">
        <v>5</v>
      </c>
      <c r="G1" t="s">
        <v>6</v>
      </c>
      <c r="H1" t="s">
        <v>7</v>
      </c>
    </row>
    <row r="2" spans="1:14" x14ac:dyDescent="0.3">
      <c r="A2">
        <v>1001</v>
      </c>
      <c r="B2" s="4">
        <v>46199</v>
      </c>
      <c r="C2" t="s">
        <v>8</v>
      </c>
      <c r="D2" t="s">
        <v>9</v>
      </c>
      <c r="E2" t="s">
        <v>10</v>
      </c>
      <c r="F2">
        <v>6</v>
      </c>
      <c r="G2">
        <v>18000</v>
      </c>
      <c r="H2">
        <v>108000</v>
      </c>
      <c r="J2" s="1" t="s">
        <v>26</v>
      </c>
      <c r="K2" t="s">
        <v>28</v>
      </c>
      <c r="M2" s="1" t="s">
        <v>26</v>
      </c>
      <c r="N2" t="s">
        <v>28</v>
      </c>
    </row>
    <row r="3" spans="1:14" x14ac:dyDescent="0.3">
      <c r="A3">
        <v>1002</v>
      </c>
      <c r="B3" s="4">
        <v>46060</v>
      </c>
      <c r="C3" t="s">
        <v>11</v>
      </c>
      <c r="D3" t="s">
        <v>12</v>
      </c>
      <c r="E3" t="s">
        <v>13</v>
      </c>
      <c r="F3">
        <v>1</v>
      </c>
      <c r="G3">
        <v>15000</v>
      </c>
      <c r="H3">
        <v>15000</v>
      </c>
      <c r="J3" s="2" t="s">
        <v>21</v>
      </c>
      <c r="K3" s="3">
        <v>711000</v>
      </c>
      <c r="M3" s="2" t="s">
        <v>20</v>
      </c>
      <c r="N3" s="3">
        <v>3081960</v>
      </c>
    </row>
    <row r="4" spans="1:14" x14ac:dyDescent="0.3">
      <c r="A4">
        <v>1003</v>
      </c>
      <c r="B4" s="4">
        <v>46168</v>
      </c>
      <c r="C4" t="s">
        <v>14</v>
      </c>
      <c r="D4" t="s">
        <v>12</v>
      </c>
      <c r="E4" t="s">
        <v>15</v>
      </c>
      <c r="F4">
        <v>8</v>
      </c>
      <c r="G4">
        <v>2500</v>
      </c>
      <c r="H4">
        <v>20000</v>
      </c>
      <c r="J4" s="2" t="s">
        <v>14</v>
      </c>
      <c r="K4" s="3">
        <v>347500</v>
      </c>
      <c r="M4" s="2" t="s">
        <v>15</v>
      </c>
      <c r="N4" s="3">
        <v>3415740</v>
      </c>
    </row>
    <row r="5" spans="1:14" x14ac:dyDescent="0.3">
      <c r="A5">
        <v>1004</v>
      </c>
      <c r="B5" s="4">
        <v>46024</v>
      </c>
      <c r="C5" t="s">
        <v>16</v>
      </c>
      <c r="D5" t="s">
        <v>17</v>
      </c>
      <c r="E5" t="s">
        <v>10</v>
      </c>
      <c r="F5">
        <v>3</v>
      </c>
      <c r="G5">
        <v>1200</v>
      </c>
      <c r="H5">
        <v>3600</v>
      </c>
      <c r="J5" s="2" t="s">
        <v>16</v>
      </c>
      <c r="K5" s="3">
        <v>189600</v>
      </c>
      <c r="M5" s="2" t="s">
        <v>13</v>
      </c>
      <c r="N5" s="3">
        <v>4001380</v>
      </c>
    </row>
    <row r="6" spans="1:14" x14ac:dyDescent="0.3">
      <c r="A6">
        <v>1005</v>
      </c>
      <c r="B6" s="4">
        <v>46059</v>
      </c>
      <c r="C6" t="s">
        <v>16</v>
      </c>
      <c r="D6" t="s">
        <v>17</v>
      </c>
      <c r="E6" t="s">
        <v>13</v>
      </c>
      <c r="F6">
        <v>4</v>
      </c>
      <c r="G6">
        <v>1200</v>
      </c>
      <c r="H6">
        <v>4800</v>
      </c>
      <c r="J6" s="2" t="s">
        <v>18</v>
      </c>
      <c r="K6" s="3">
        <v>7550000</v>
      </c>
      <c r="M6" s="2" t="s">
        <v>10</v>
      </c>
      <c r="N6" s="3">
        <v>3750020</v>
      </c>
    </row>
    <row r="7" spans="1:14" x14ac:dyDescent="0.3">
      <c r="A7">
        <v>1006</v>
      </c>
      <c r="B7" s="4">
        <v>46193</v>
      </c>
      <c r="C7" t="s">
        <v>18</v>
      </c>
      <c r="D7" t="s">
        <v>12</v>
      </c>
      <c r="E7" t="s">
        <v>15</v>
      </c>
      <c r="F7">
        <v>7</v>
      </c>
      <c r="G7">
        <v>50000</v>
      </c>
      <c r="H7">
        <v>350000</v>
      </c>
      <c r="J7" s="2" t="s">
        <v>11</v>
      </c>
      <c r="K7" s="3">
        <v>1335000</v>
      </c>
      <c r="M7" s="2" t="s">
        <v>27</v>
      </c>
      <c r="N7" s="3">
        <v>14249100</v>
      </c>
    </row>
    <row r="8" spans="1:14" x14ac:dyDescent="0.3">
      <c r="A8">
        <v>1007</v>
      </c>
      <c r="B8" s="4">
        <v>46098</v>
      </c>
      <c r="C8" t="s">
        <v>19</v>
      </c>
      <c r="D8" t="s">
        <v>12</v>
      </c>
      <c r="E8" t="s">
        <v>13</v>
      </c>
      <c r="F8">
        <v>3</v>
      </c>
      <c r="G8">
        <v>3200</v>
      </c>
      <c r="H8">
        <v>9600</v>
      </c>
      <c r="J8" s="2" t="s">
        <v>24</v>
      </c>
      <c r="K8" s="3">
        <v>50400</v>
      </c>
    </row>
    <row r="9" spans="1:14" x14ac:dyDescent="0.3">
      <c r="A9">
        <v>1008</v>
      </c>
      <c r="B9" s="4">
        <v>46108</v>
      </c>
      <c r="C9" t="s">
        <v>19</v>
      </c>
      <c r="D9" t="s">
        <v>12</v>
      </c>
      <c r="E9" t="s">
        <v>15</v>
      </c>
      <c r="F9">
        <v>4</v>
      </c>
      <c r="G9">
        <v>3200</v>
      </c>
      <c r="H9">
        <v>12800</v>
      </c>
      <c r="J9" s="2" t="s">
        <v>23</v>
      </c>
      <c r="K9" s="3">
        <v>15600</v>
      </c>
    </row>
    <row r="10" spans="1:14" x14ac:dyDescent="0.3">
      <c r="A10">
        <v>1009</v>
      </c>
      <c r="B10" s="4">
        <v>46079</v>
      </c>
      <c r="C10" t="s">
        <v>11</v>
      </c>
      <c r="D10" t="s">
        <v>12</v>
      </c>
      <c r="E10" t="s">
        <v>20</v>
      </c>
      <c r="F10">
        <v>1</v>
      </c>
      <c r="G10">
        <v>15000</v>
      </c>
      <c r="H10">
        <v>15000</v>
      </c>
      <c r="J10" s="2" t="s">
        <v>8</v>
      </c>
      <c r="K10" s="3">
        <v>2754000</v>
      </c>
      <c r="M10" s="1" t="s">
        <v>26</v>
      </c>
      <c r="N10" t="s">
        <v>28</v>
      </c>
    </row>
    <row r="11" spans="1:14" x14ac:dyDescent="0.3">
      <c r="A11">
        <v>1010</v>
      </c>
      <c r="B11" s="4">
        <v>46156</v>
      </c>
      <c r="C11" t="s">
        <v>21</v>
      </c>
      <c r="D11" t="s">
        <v>22</v>
      </c>
      <c r="E11" t="s">
        <v>10</v>
      </c>
      <c r="F11">
        <v>2</v>
      </c>
      <c r="G11">
        <v>4500</v>
      </c>
      <c r="H11">
        <v>9000</v>
      </c>
      <c r="J11" s="2" t="s">
        <v>25</v>
      </c>
      <c r="K11" s="3">
        <v>864000</v>
      </c>
      <c r="M11" s="2" t="s">
        <v>29</v>
      </c>
      <c r="N11" s="3">
        <v>14249100</v>
      </c>
    </row>
    <row r="12" spans="1:14" x14ac:dyDescent="0.3">
      <c r="A12">
        <v>1011</v>
      </c>
      <c r="B12" s="4">
        <v>46103</v>
      </c>
      <c r="C12" t="s">
        <v>21</v>
      </c>
      <c r="D12" t="s">
        <v>22</v>
      </c>
      <c r="E12" t="s">
        <v>13</v>
      </c>
      <c r="F12">
        <v>5</v>
      </c>
      <c r="G12">
        <v>4500</v>
      </c>
      <c r="H12">
        <v>22500</v>
      </c>
      <c r="J12" s="2" t="s">
        <v>19</v>
      </c>
      <c r="K12" s="3">
        <v>432000</v>
      </c>
      <c r="M12" s="5" t="s">
        <v>30</v>
      </c>
      <c r="N12" s="3">
        <v>2423560</v>
      </c>
    </row>
    <row r="13" spans="1:14" x14ac:dyDescent="0.3">
      <c r="A13">
        <v>1012</v>
      </c>
      <c r="B13" s="4">
        <v>46060</v>
      </c>
      <c r="C13" t="s">
        <v>23</v>
      </c>
      <c r="D13" t="s">
        <v>9</v>
      </c>
      <c r="E13" t="s">
        <v>15</v>
      </c>
      <c r="F13">
        <v>7</v>
      </c>
      <c r="G13">
        <v>120</v>
      </c>
      <c r="H13">
        <v>840</v>
      </c>
      <c r="J13" s="2" t="s">
        <v>27</v>
      </c>
      <c r="K13" s="3">
        <v>14249100</v>
      </c>
      <c r="M13" s="5" t="s">
        <v>31</v>
      </c>
      <c r="N13" s="3">
        <v>1725300</v>
      </c>
    </row>
    <row r="14" spans="1:14" x14ac:dyDescent="0.3">
      <c r="A14">
        <v>1013</v>
      </c>
      <c r="B14" s="4">
        <v>46186</v>
      </c>
      <c r="C14" t="s">
        <v>14</v>
      </c>
      <c r="D14" t="s">
        <v>12</v>
      </c>
      <c r="E14" t="s">
        <v>10</v>
      </c>
      <c r="F14">
        <v>6</v>
      </c>
      <c r="G14">
        <v>2500</v>
      </c>
      <c r="H14">
        <v>15000</v>
      </c>
      <c r="M14" s="5" t="s">
        <v>32</v>
      </c>
      <c r="N14" s="3">
        <v>3443300</v>
      </c>
    </row>
    <row r="15" spans="1:14" x14ac:dyDescent="0.3">
      <c r="A15">
        <v>1014</v>
      </c>
      <c r="B15" s="4">
        <v>46128</v>
      </c>
      <c r="C15" t="s">
        <v>24</v>
      </c>
      <c r="D15" t="s">
        <v>17</v>
      </c>
      <c r="E15" t="s">
        <v>13</v>
      </c>
      <c r="F15">
        <v>6</v>
      </c>
      <c r="G15">
        <v>600</v>
      </c>
      <c r="H15">
        <v>3600</v>
      </c>
      <c r="M15" s="5" t="s">
        <v>33</v>
      </c>
      <c r="N15" s="3">
        <v>1966760</v>
      </c>
    </row>
    <row r="16" spans="1:14" x14ac:dyDescent="0.3">
      <c r="A16">
        <v>1015</v>
      </c>
      <c r="B16" s="4">
        <v>46165</v>
      </c>
      <c r="C16" t="s">
        <v>21</v>
      </c>
      <c r="D16" t="s">
        <v>22</v>
      </c>
      <c r="E16" t="s">
        <v>10</v>
      </c>
      <c r="F16">
        <v>1</v>
      </c>
      <c r="G16">
        <v>4500</v>
      </c>
      <c r="H16">
        <v>4500</v>
      </c>
      <c r="J16" s="1" t="s">
        <v>26</v>
      </c>
      <c r="K16" t="s">
        <v>28</v>
      </c>
      <c r="M16" s="5" t="s">
        <v>34</v>
      </c>
      <c r="N16" s="3">
        <v>2078920</v>
      </c>
    </row>
    <row r="17" spans="1:14" x14ac:dyDescent="0.3">
      <c r="A17">
        <v>1016</v>
      </c>
      <c r="B17" s="4">
        <v>46111</v>
      </c>
      <c r="C17" t="s">
        <v>14</v>
      </c>
      <c r="D17" t="s">
        <v>12</v>
      </c>
      <c r="E17" t="s">
        <v>15</v>
      </c>
      <c r="F17">
        <v>4</v>
      </c>
      <c r="G17">
        <v>2500</v>
      </c>
      <c r="H17">
        <v>10000</v>
      </c>
      <c r="J17" s="2" t="s">
        <v>17</v>
      </c>
      <c r="K17" s="3">
        <v>240000</v>
      </c>
      <c r="M17" s="5" t="s">
        <v>35</v>
      </c>
      <c r="N17" s="3">
        <v>2611260</v>
      </c>
    </row>
    <row r="18" spans="1:14" x14ac:dyDescent="0.3">
      <c r="A18">
        <v>1017</v>
      </c>
      <c r="B18" s="4">
        <v>46085</v>
      </c>
      <c r="C18" t="s">
        <v>25</v>
      </c>
      <c r="D18" t="s">
        <v>22</v>
      </c>
      <c r="E18" t="s">
        <v>20</v>
      </c>
      <c r="F18">
        <v>8</v>
      </c>
      <c r="G18">
        <v>8000</v>
      </c>
      <c r="H18">
        <v>64000</v>
      </c>
      <c r="J18" s="2" t="s">
        <v>12</v>
      </c>
      <c r="K18" s="3">
        <v>9664500</v>
      </c>
      <c r="M18" s="2" t="s">
        <v>27</v>
      </c>
      <c r="N18" s="3">
        <v>14249100</v>
      </c>
    </row>
    <row r="19" spans="1:14" x14ac:dyDescent="0.3">
      <c r="A19">
        <v>1018</v>
      </c>
      <c r="B19" s="4">
        <v>46149</v>
      </c>
      <c r="C19" t="s">
        <v>8</v>
      </c>
      <c r="D19" t="s">
        <v>9</v>
      </c>
      <c r="E19" t="s">
        <v>13</v>
      </c>
      <c r="F19">
        <v>4</v>
      </c>
      <c r="G19">
        <v>18000</v>
      </c>
      <c r="H19">
        <v>72000</v>
      </c>
      <c r="J19" s="2" t="s">
        <v>22</v>
      </c>
      <c r="K19" s="3">
        <v>1575000</v>
      </c>
    </row>
    <row r="20" spans="1:14" x14ac:dyDescent="0.3">
      <c r="A20">
        <v>1019</v>
      </c>
      <c r="B20" s="4">
        <v>46083</v>
      </c>
      <c r="C20" t="s">
        <v>8</v>
      </c>
      <c r="D20" t="s">
        <v>9</v>
      </c>
      <c r="E20" t="s">
        <v>10</v>
      </c>
      <c r="F20">
        <v>7</v>
      </c>
      <c r="G20">
        <v>18000</v>
      </c>
      <c r="H20">
        <v>126000</v>
      </c>
      <c r="J20" s="2" t="s">
        <v>9</v>
      </c>
      <c r="K20" s="3">
        <v>2769600</v>
      </c>
    </row>
    <row r="21" spans="1:14" x14ac:dyDescent="0.3">
      <c r="A21">
        <v>1020</v>
      </c>
      <c r="B21" s="4">
        <v>46127</v>
      </c>
      <c r="C21" t="s">
        <v>16</v>
      </c>
      <c r="D21" t="s">
        <v>17</v>
      </c>
      <c r="E21" t="s">
        <v>15</v>
      </c>
      <c r="F21">
        <v>6</v>
      </c>
      <c r="G21">
        <v>1200</v>
      </c>
      <c r="H21">
        <v>7200</v>
      </c>
      <c r="J21" s="2" t="s">
        <v>27</v>
      </c>
      <c r="K21" s="3">
        <v>14249100</v>
      </c>
    </row>
    <row r="22" spans="1:14" x14ac:dyDescent="0.3">
      <c r="A22">
        <v>1021</v>
      </c>
      <c r="B22" s="4">
        <v>46181</v>
      </c>
      <c r="C22" t="s">
        <v>21</v>
      </c>
      <c r="D22" t="s">
        <v>22</v>
      </c>
      <c r="E22" t="s">
        <v>10</v>
      </c>
      <c r="F22">
        <v>8</v>
      </c>
      <c r="G22">
        <v>4500</v>
      </c>
      <c r="H22">
        <v>36000</v>
      </c>
    </row>
    <row r="23" spans="1:14" x14ac:dyDescent="0.3">
      <c r="A23">
        <v>1022</v>
      </c>
      <c r="B23" s="4">
        <v>46174</v>
      </c>
      <c r="C23" t="s">
        <v>14</v>
      </c>
      <c r="D23" t="s">
        <v>12</v>
      </c>
      <c r="E23" t="s">
        <v>13</v>
      </c>
      <c r="F23">
        <v>3</v>
      </c>
      <c r="G23">
        <v>2500</v>
      </c>
      <c r="H23">
        <v>7500</v>
      </c>
      <c r="M23" s="1" t="s">
        <v>26</v>
      </c>
      <c r="N23" t="s">
        <v>36</v>
      </c>
    </row>
    <row r="24" spans="1:14" x14ac:dyDescent="0.3">
      <c r="A24">
        <v>1023</v>
      </c>
      <c r="B24" s="4">
        <v>46145</v>
      </c>
      <c r="C24" t="s">
        <v>23</v>
      </c>
      <c r="D24" t="s">
        <v>9</v>
      </c>
      <c r="E24" t="s">
        <v>13</v>
      </c>
      <c r="F24">
        <v>6</v>
      </c>
      <c r="G24">
        <v>120</v>
      </c>
      <c r="H24">
        <v>720</v>
      </c>
      <c r="M24" s="2" t="s">
        <v>21</v>
      </c>
      <c r="N24" s="3">
        <v>158</v>
      </c>
    </row>
    <row r="25" spans="1:14" x14ac:dyDescent="0.3">
      <c r="A25">
        <v>1024</v>
      </c>
      <c r="B25" s="4">
        <v>46119</v>
      </c>
      <c r="C25" t="s">
        <v>19</v>
      </c>
      <c r="D25" t="s">
        <v>12</v>
      </c>
      <c r="E25" t="s">
        <v>10</v>
      </c>
      <c r="F25">
        <v>6</v>
      </c>
      <c r="G25">
        <v>3200</v>
      </c>
      <c r="H25">
        <v>19200</v>
      </c>
      <c r="M25" s="2" t="s">
        <v>14</v>
      </c>
      <c r="N25" s="3">
        <v>139</v>
      </c>
    </row>
    <row r="26" spans="1:14" x14ac:dyDescent="0.3">
      <c r="A26">
        <v>1025</v>
      </c>
      <c r="B26" s="4">
        <v>46158</v>
      </c>
      <c r="C26" t="s">
        <v>14</v>
      </c>
      <c r="D26" t="s">
        <v>12</v>
      </c>
      <c r="E26" t="s">
        <v>10</v>
      </c>
      <c r="F26">
        <v>5</v>
      </c>
      <c r="G26">
        <v>2500</v>
      </c>
      <c r="H26">
        <v>12500</v>
      </c>
      <c r="M26" s="2" t="s">
        <v>16</v>
      </c>
      <c r="N26" s="3">
        <v>158</v>
      </c>
    </row>
    <row r="27" spans="1:14" x14ac:dyDescent="0.3">
      <c r="A27">
        <v>1026</v>
      </c>
      <c r="B27" s="4">
        <v>46145</v>
      </c>
      <c r="C27" t="s">
        <v>18</v>
      </c>
      <c r="D27" t="s">
        <v>12</v>
      </c>
      <c r="E27" t="s">
        <v>10</v>
      </c>
      <c r="F27">
        <v>2</v>
      </c>
      <c r="G27">
        <v>50000</v>
      </c>
      <c r="H27">
        <v>100000</v>
      </c>
      <c r="M27" s="2" t="s">
        <v>18</v>
      </c>
      <c r="N27" s="3">
        <v>151</v>
      </c>
    </row>
    <row r="28" spans="1:14" x14ac:dyDescent="0.3">
      <c r="A28">
        <v>1027</v>
      </c>
      <c r="B28" s="4">
        <v>46108</v>
      </c>
      <c r="C28" t="s">
        <v>8</v>
      </c>
      <c r="D28" t="s">
        <v>9</v>
      </c>
      <c r="E28" t="s">
        <v>10</v>
      </c>
      <c r="F28">
        <v>3</v>
      </c>
      <c r="G28">
        <v>18000</v>
      </c>
      <c r="H28">
        <v>54000</v>
      </c>
      <c r="M28" s="2" t="s">
        <v>11</v>
      </c>
      <c r="N28" s="3">
        <v>89</v>
      </c>
    </row>
    <row r="29" spans="1:14" x14ac:dyDescent="0.3">
      <c r="A29">
        <v>1028</v>
      </c>
      <c r="B29" s="4">
        <v>46043</v>
      </c>
      <c r="C29" t="s">
        <v>8</v>
      </c>
      <c r="D29" t="s">
        <v>9</v>
      </c>
      <c r="E29" t="s">
        <v>10</v>
      </c>
      <c r="F29">
        <v>5</v>
      </c>
      <c r="G29">
        <v>18000</v>
      </c>
      <c r="H29">
        <v>90000</v>
      </c>
      <c r="M29" s="2" t="s">
        <v>24</v>
      </c>
      <c r="N29" s="3">
        <v>84</v>
      </c>
    </row>
    <row r="30" spans="1:14" x14ac:dyDescent="0.3">
      <c r="A30">
        <v>1029</v>
      </c>
      <c r="B30" s="4">
        <v>46153</v>
      </c>
      <c r="C30" t="s">
        <v>19</v>
      </c>
      <c r="D30" t="s">
        <v>12</v>
      </c>
      <c r="E30" t="s">
        <v>15</v>
      </c>
      <c r="F30">
        <v>2</v>
      </c>
      <c r="G30">
        <v>3200</v>
      </c>
      <c r="H30">
        <v>6400</v>
      </c>
      <c r="M30" s="2" t="s">
        <v>23</v>
      </c>
      <c r="N30" s="3">
        <v>130</v>
      </c>
    </row>
    <row r="31" spans="1:14" x14ac:dyDescent="0.3">
      <c r="A31">
        <v>1030</v>
      </c>
      <c r="B31" s="4">
        <v>46061</v>
      </c>
      <c r="C31" t="s">
        <v>14</v>
      </c>
      <c r="D31" t="s">
        <v>12</v>
      </c>
      <c r="E31" t="s">
        <v>15</v>
      </c>
      <c r="F31">
        <v>3</v>
      </c>
      <c r="G31">
        <v>2500</v>
      </c>
      <c r="H31">
        <v>7500</v>
      </c>
      <c r="M31" s="2" t="s">
        <v>8</v>
      </c>
      <c r="N31" s="3">
        <v>153</v>
      </c>
    </row>
    <row r="32" spans="1:14" x14ac:dyDescent="0.3">
      <c r="A32">
        <v>1031</v>
      </c>
      <c r="B32" s="4">
        <v>46148</v>
      </c>
      <c r="C32" t="s">
        <v>21</v>
      </c>
      <c r="D32" t="s">
        <v>22</v>
      </c>
      <c r="E32" t="s">
        <v>10</v>
      </c>
      <c r="F32">
        <v>2</v>
      </c>
      <c r="G32">
        <v>4500</v>
      </c>
      <c r="H32">
        <v>9000</v>
      </c>
      <c r="M32" s="2" t="s">
        <v>25</v>
      </c>
      <c r="N32" s="3">
        <v>108</v>
      </c>
    </row>
    <row r="33" spans="1:14" x14ac:dyDescent="0.3">
      <c r="A33">
        <v>1032</v>
      </c>
      <c r="B33" s="4">
        <v>46070</v>
      </c>
      <c r="C33" t="s">
        <v>19</v>
      </c>
      <c r="D33" t="s">
        <v>12</v>
      </c>
      <c r="E33" t="s">
        <v>20</v>
      </c>
      <c r="F33">
        <v>8</v>
      </c>
      <c r="G33">
        <v>3200</v>
      </c>
      <c r="H33">
        <v>25600</v>
      </c>
      <c r="M33" s="2" t="s">
        <v>19</v>
      </c>
      <c r="N33" s="3">
        <v>135</v>
      </c>
    </row>
    <row r="34" spans="1:14" x14ac:dyDescent="0.3">
      <c r="A34">
        <v>1033</v>
      </c>
      <c r="B34" s="4">
        <v>46183</v>
      </c>
      <c r="C34" t="s">
        <v>8</v>
      </c>
      <c r="D34" t="s">
        <v>9</v>
      </c>
      <c r="E34" t="s">
        <v>20</v>
      </c>
      <c r="F34">
        <v>2</v>
      </c>
      <c r="G34">
        <v>18000</v>
      </c>
      <c r="H34">
        <v>36000</v>
      </c>
      <c r="M34" s="2" t="s">
        <v>27</v>
      </c>
      <c r="N34" s="3">
        <v>1305</v>
      </c>
    </row>
    <row r="35" spans="1:14" x14ac:dyDescent="0.3">
      <c r="A35">
        <v>1034</v>
      </c>
      <c r="B35" s="4">
        <v>46090</v>
      </c>
      <c r="C35" t="s">
        <v>8</v>
      </c>
      <c r="D35" t="s">
        <v>9</v>
      </c>
      <c r="E35" t="s">
        <v>20</v>
      </c>
      <c r="F35">
        <v>1</v>
      </c>
      <c r="G35">
        <v>18000</v>
      </c>
      <c r="H35">
        <v>18000</v>
      </c>
    </row>
    <row r="36" spans="1:14" x14ac:dyDescent="0.3">
      <c r="A36">
        <v>1035</v>
      </c>
      <c r="B36" s="4">
        <v>46117</v>
      </c>
      <c r="C36" t="s">
        <v>19</v>
      </c>
      <c r="D36" t="s">
        <v>12</v>
      </c>
      <c r="E36" t="s">
        <v>15</v>
      </c>
      <c r="F36">
        <v>3</v>
      </c>
      <c r="G36">
        <v>3200</v>
      </c>
      <c r="H36">
        <v>9600</v>
      </c>
    </row>
    <row r="37" spans="1:14" x14ac:dyDescent="0.3">
      <c r="A37">
        <v>1036</v>
      </c>
      <c r="B37" s="4">
        <v>46064</v>
      </c>
      <c r="C37" t="s">
        <v>14</v>
      </c>
      <c r="D37" t="s">
        <v>12</v>
      </c>
      <c r="E37" t="s">
        <v>13</v>
      </c>
      <c r="F37">
        <v>3</v>
      </c>
      <c r="G37">
        <v>2500</v>
      </c>
      <c r="H37">
        <v>7500</v>
      </c>
    </row>
    <row r="38" spans="1:14" x14ac:dyDescent="0.3">
      <c r="A38">
        <v>1037</v>
      </c>
      <c r="B38" s="4">
        <v>46029</v>
      </c>
      <c r="C38" t="s">
        <v>25</v>
      </c>
      <c r="D38" t="s">
        <v>22</v>
      </c>
      <c r="E38" t="s">
        <v>10</v>
      </c>
      <c r="F38">
        <v>5</v>
      </c>
      <c r="G38">
        <v>8000</v>
      </c>
      <c r="H38">
        <v>40000</v>
      </c>
    </row>
    <row r="39" spans="1:14" x14ac:dyDescent="0.3">
      <c r="A39">
        <v>1038</v>
      </c>
      <c r="B39" s="4">
        <v>46084</v>
      </c>
      <c r="C39" t="s">
        <v>25</v>
      </c>
      <c r="D39" t="s">
        <v>22</v>
      </c>
      <c r="E39" t="s">
        <v>10</v>
      </c>
      <c r="F39">
        <v>1</v>
      </c>
      <c r="G39">
        <v>8000</v>
      </c>
      <c r="H39">
        <v>8000</v>
      </c>
    </row>
    <row r="40" spans="1:14" x14ac:dyDescent="0.3">
      <c r="A40">
        <v>1039</v>
      </c>
      <c r="B40" s="4">
        <v>46048</v>
      </c>
      <c r="C40" t="s">
        <v>24</v>
      </c>
      <c r="D40" t="s">
        <v>17</v>
      </c>
      <c r="E40" t="s">
        <v>10</v>
      </c>
      <c r="F40">
        <v>1</v>
      </c>
      <c r="G40">
        <v>600</v>
      </c>
      <c r="H40">
        <v>600</v>
      </c>
    </row>
    <row r="41" spans="1:14" x14ac:dyDescent="0.3">
      <c r="A41">
        <v>1040</v>
      </c>
      <c r="B41" s="4">
        <v>46118</v>
      </c>
      <c r="C41" t="s">
        <v>21</v>
      </c>
      <c r="D41" t="s">
        <v>22</v>
      </c>
      <c r="E41" t="s">
        <v>20</v>
      </c>
      <c r="F41">
        <v>6</v>
      </c>
      <c r="G41">
        <v>4500</v>
      </c>
      <c r="H41">
        <v>27000</v>
      </c>
    </row>
    <row r="42" spans="1:14" x14ac:dyDescent="0.3">
      <c r="A42">
        <v>1041</v>
      </c>
      <c r="B42" s="4">
        <v>46064</v>
      </c>
      <c r="C42" t="s">
        <v>19</v>
      </c>
      <c r="D42" t="s">
        <v>12</v>
      </c>
      <c r="E42" t="s">
        <v>13</v>
      </c>
      <c r="F42">
        <v>7</v>
      </c>
      <c r="G42">
        <v>3200</v>
      </c>
      <c r="H42">
        <v>22400</v>
      </c>
    </row>
    <row r="43" spans="1:14" x14ac:dyDescent="0.3">
      <c r="A43">
        <v>1042</v>
      </c>
      <c r="B43" s="4">
        <v>46112</v>
      </c>
      <c r="C43" t="s">
        <v>11</v>
      </c>
      <c r="D43" t="s">
        <v>12</v>
      </c>
      <c r="E43" t="s">
        <v>15</v>
      </c>
      <c r="F43">
        <v>4</v>
      </c>
      <c r="G43">
        <v>15000</v>
      </c>
      <c r="H43">
        <v>60000</v>
      </c>
    </row>
    <row r="44" spans="1:14" x14ac:dyDescent="0.3">
      <c r="A44">
        <v>1043</v>
      </c>
      <c r="B44" s="4">
        <v>46136</v>
      </c>
      <c r="C44" t="s">
        <v>24</v>
      </c>
      <c r="D44" t="s">
        <v>17</v>
      </c>
      <c r="E44" t="s">
        <v>10</v>
      </c>
      <c r="F44">
        <v>3</v>
      </c>
      <c r="G44">
        <v>600</v>
      </c>
      <c r="H44">
        <v>1800</v>
      </c>
    </row>
    <row r="45" spans="1:14" x14ac:dyDescent="0.3">
      <c r="A45">
        <v>1044</v>
      </c>
      <c r="B45" s="4">
        <v>46072</v>
      </c>
      <c r="C45" t="s">
        <v>23</v>
      </c>
      <c r="D45" t="s">
        <v>9</v>
      </c>
      <c r="E45" t="s">
        <v>13</v>
      </c>
      <c r="F45">
        <v>6</v>
      </c>
      <c r="G45">
        <v>120</v>
      </c>
      <c r="H45">
        <v>720</v>
      </c>
    </row>
    <row r="46" spans="1:14" x14ac:dyDescent="0.3">
      <c r="A46">
        <v>1045</v>
      </c>
      <c r="B46" s="4">
        <v>46195</v>
      </c>
      <c r="C46" t="s">
        <v>24</v>
      </c>
      <c r="D46" t="s">
        <v>17</v>
      </c>
      <c r="E46" t="s">
        <v>13</v>
      </c>
      <c r="F46">
        <v>1</v>
      </c>
      <c r="G46">
        <v>600</v>
      </c>
      <c r="H46">
        <v>600</v>
      </c>
    </row>
    <row r="47" spans="1:14" x14ac:dyDescent="0.3">
      <c r="A47">
        <v>1046</v>
      </c>
      <c r="B47" s="4">
        <v>46180</v>
      </c>
      <c r="C47" t="s">
        <v>18</v>
      </c>
      <c r="D47" t="s">
        <v>12</v>
      </c>
      <c r="E47" t="s">
        <v>15</v>
      </c>
      <c r="F47">
        <v>5</v>
      </c>
      <c r="G47">
        <v>50000</v>
      </c>
      <c r="H47">
        <v>250000</v>
      </c>
    </row>
    <row r="48" spans="1:14" x14ac:dyDescent="0.3">
      <c r="A48">
        <v>1047</v>
      </c>
      <c r="B48" s="4">
        <v>46078</v>
      </c>
      <c r="C48" t="s">
        <v>8</v>
      </c>
      <c r="D48" t="s">
        <v>9</v>
      </c>
      <c r="E48" t="s">
        <v>15</v>
      </c>
      <c r="F48">
        <v>1</v>
      </c>
      <c r="G48">
        <v>18000</v>
      </c>
      <c r="H48">
        <v>18000</v>
      </c>
    </row>
    <row r="49" spans="1:8" x14ac:dyDescent="0.3">
      <c r="A49">
        <v>1048</v>
      </c>
      <c r="B49" s="4">
        <v>46064</v>
      </c>
      <c r="C49" t="s">
        <v>14</v>
      </c>
      <c r="D49" t="s">
        <v>12</v>
      </c>
      <c r="E49" t="s">
        <v>15</v>
      </c>
      <c r="F49">
        <v>8</v>
      </c>
      <c r="G49">
        <v>2500</v>
      </c>
      <c r="H49">
        <v>20000</v>
      </c>
    </row>
    <row r="50" spans="1:8" x14ac:dyDescent="0.3">
      <c r="A50">
        <v>1049</v>
      </c>
      <c r="B50" s="4">
        <v>46029</v>
      </c>
      <c r="C50" t="s">
        <v>14</v>
      </c>
      <c r="D50" t="s">
        <v>12</v>
      </c>
      <c r="E50" t="s">
        <v>15</v>
      </c>
      <c r="F50">
        <v>2</v>
      </c>
      <c r="G50">
        <v>2500</v>
      </c>
      <c r="H50">
        <v>5000</v>
      </c>
    </row>
    <row r="51" spans="1:8" x14ac:dyDescent="0.3">
      <c r="A51">
        <v>1050</v>
      </c>
      <c r="B51" s="4">
        <v>46180</v>
      </c>
      <c r="C51" t="s">
        <v>16</v>
      </c>
      <c r="D51" t="s">
        <v>17</v>
      </c>
      <c r="E51" t="s">
        <v>10</v>
      </c>
      <c r="F51">
        <v>3</v>
      </c>
      <c r="G51">
        <v>1200</v>
      </c>
      <c r="H51">
        <v>3600</v>
      </c>
    </row>
    <row r="52" spans="1:8" x14ac:dyDescent="0.3">
      <c r="A52">
        <v>1051</v>
      </c>
      <c r="B52" s="4">
        <v>46094</v>
      </c>
      <c r="C52" t="s">
        <v>21</v>
      </c>
      <c r="D52" t="s">
        <v>22</v>
      </c>
      <c r="E52" t="s">
        <v>13</v>
      </c>
      <c r="F52">
        <v>2</v>
      </c>
      <c r="G52">
        <v>4500</v>
      </c>
      <c r="H52">
        <v>9000</v>
      </c>
    </row>
    <row r="53" spans="1:8" x14ac:dyDescent="0.3">
      <c r="A53">
        <v>1052</v>
      </c>
      <c r="B53" s="4">
        <v>46091</v>
      </c>
      <c r="C53" t="s">
        <v>25</v>
      </c>
      <c r="D53" t="s">
        <v>22</v>
      </c>
      <c r="E53" t="s">
        <v>20</v>
      </c>
      <c r="F53">
        <v>5</v>
      </c>
      <c r="G53">
        <v>8000</v>
      </c>
      <c r="H53">
        <v>40000</v>
      </c>
    </row>
    <row r="54" spans="1:8" x14ac:dyDescent="0.3">
      <c r="A54">
        <v>1053</v>
      </c>
      <c r="B54" s="4">
        <v>46150</v>
      </c>
      <c r="C54" t="s">
        <v>25</v>
      </c>
      <c r="D54" t="s">
        <v>22</v>
      </c>
      <c r="E54" t="s">
        <v>10</v>
      </c>
      <c r="F54">
        <v>7</v>
      </c>
      <c r="G54">
        <v>8000</v>
      </c>
      <c r="H54">
        <v>56000</v>
      </c>
    </row>
    <row r="55" spans="1:8" x14ac:dyDescent="0.3">
      <c r="A55">
        <v>1054</v>
      </c>
      <c r="B55" s="4">
        <v>46076</v>
      </c>
      <c r="C55" t="s">
        <v>21</v>
      </c>
      <c r="D55" t="s">
        <v>22</v>
      </c>
      <c r="E55" t="s">
        <v>10</v>
      </c>
      <c r="F55">
        <v>8</v>
      </c>
      <c r="G55">
        <v>4500</v>
      </c>
      <c r="H55">
        <v>36000</v>
      </c>
    </row>
    <row r="56" spans="1:8" x14ac:dyDescent="0.3">
      <c r="A56">
        <v>1055</v>
      </c>
      <c r="B56" s="4">
        <v>46076</v>
      </c>
      <c r="C56" t="s">
        <v>19</v>
      </c>
      <c r="D56" t="s">
        <v>12</v>
      </c>
      <c r="E56" t="s">
        <v>13</v>
      </c>
      <c r="F56">
        <v>8</v>
      </c>
      <c r="G56">
        <v>3200</v>
      </c>
      <c r="H56">
        <v>25600</v>
      </c>
    </row>
    <row r="57" spans="1:8" x14ac:dyDescent="0.3">
      <c r="A57">
        <v>1056</v>
      </c>
      <c r="B57" s="4">
        <v>46085</v>
      </c>
      <c r="C57" t="s">
        <v>8</v>
      </c>
      <c r="D57" t="s">
        <v>9</v>
      </c>
      <c r="E57" t="s">
        <v>13</v>
      </c>
      <c r="F57">
        <v>3</v>
      </c>
      <c r="G57">
        <v>18000</v>
      </c>
      <c r="H57">
        <v>54000</v>
      </c>
    </row>
    <row r="58" spans="1:8" x14ac:dyDescent="0.3">
      <c r="A58">
        <v>1057</v>
      </c>
      <c r="B58" s="4">
        <v>46159</v>
      </c>
      <c r="C58" t="s">
        <v>16</v>
      </c>
      <c r="D58" t="s">
        <v>17</v>
      </c>
      <c r="E58" t="s">
        <v>13</v>
      </c>
      <c r="F58">
        <v>1</v>
      </c>
      <c r="G58">
        <v>1200</v>
      </c>
      <c r="H58">
        <v>1200</v>
      </c>
    </row>
    <row r="59" spans="1:8" x14ac:dyDescent="0.3">
      <c r="A59">
        <v>1058</v>
      </c>
      <c r="B59" s="4">
        <v>46072</v>
      </c>
      <c r="C59" t="s">
        <v>14</v>
      </c>
      <c r="D59" t="s">
        <v>12</v>
      </c>
      <c r="E59" t="s">
        <v>15</v>
      </c>
      <c r="F59">
        <v>1</v>
      </c>
      <c r="G59">
        <v>2500</v>
      </c>
      <c r="H59">
        <v>2500</v>
      </c>
    </row>
    <row r="60" spans="1:8" x14ac:dyDescent="0.3">
      <c r="A60">
        <v>1059</v>
      </c>
      <c r="B60" s="4">
        <v>46089</v>
      </c>
      <c r="C60" t="s">
        <v>25</v>
      </c>
      <c r="D60" t="s">
        <v>22</v>
      </c>
      <c r="E60" t="s">
        <v>20</v>
      </c>
      <c r="F60">
        <v>2</v>
      </c>
      <c r="G60">
        <v>8000</v>
      </c>
      <c r="H60">
        <v>16000</v>
      </c>
    </row>
    <row r="61" spans="1:8" x14ac:dyDescent="0.3">
      <c r="A61">
        <v>1060</v>
      </c>
      <c r="B61" s="4">
        <v>46030</v>
      </c>
      <c r="C61" t="s">
        <v>21</v>
      </c>
      <c r="D61" t="s">
        <v>22</v>
      </c>
      <c r="E61" t="s">
        <v>13</v>
      </c>
      <c r="F61">
        <v>6</v>
      </c>
      <c r="G61">
        <v>4500</v>
      </c>
      <c r="H61">
        <v>27000</v>
      </c>
    </row>
    <row r="62" spans="1:8" x14ac:dyDescent="0.3">
      <c r="A62">
        <v>1061</v>
      </c>
      <c r="B62" s="4">
        <v>46098</v>
      </c>
      <c r="C62" t="s">
        <v>8</v>
      </c>
      <c r="D62" t="s">
        <v>9</v>
      </c>
      <c r="E62" t="s">
        <v>15</v>
      </c>
      <c r="F62">
        <v>6</v>
      </c>
      <c r="G62">
        <v>18000</v>
      </c>
      <c r="H62">
        <v>108000</v>
      </c>
    </row>
    <row r="63" spans="1:8" x14ac:dyDescent="0.3">
      <c r="A63">
        <v>1062</v>
      </c>
      <c r="B63" s="4">
        <v>46049</v>
      </c>
      <c r="C63" t="s">
        <v>19</v>
      </c>
      <c r="D63" t="s">
        <v>12</v>
      </c>
      <c r="E63" t="s">
        <v>15</v>
      </c>
      <c r="F63">
        <v>4</v>
      </c>
      <c r="G63">
        <v>3200</v>
      </c>
      <c r="H63">
        <v>12800</v>
      </c>
    </row>
    <row r="64" spans="1:8" x14ac:dyDescent="0.3">
      <c r="A64">
        <v>1063</v>
      </c>
      <c r="B64" s="4">
        <v>46168</v>
      </c>
      <c r="C64" t="s">
        <v>19</v>
      </c>
      <c r="D64" t="s">
        <v>12</v>
      </c>
      <c r="E64" t="s">
        <v>10</v>
      </c>
      <c r="F64">
        <v>2</v>
      </c>
      <c r="G64">
        <v>3200</v>
      </c>
      <c r="H64">
        <v>6400</v>
      </c>
    </row>
    <row r="65" spans="1:8" x14ac:dyDescent="0.3">
      <c r="A65">
        <v>1064</v>
      </c>
      <c r="B65" s="4">
        <v>46092</v>
      </c>
      <c r="C65" t="s">
        <v>21</v>
      </c>
      <c r="D65" t="s">
        <v>22</v>
      </c>
      <c r="E65" t="s">
        <v>20</v>
      </c>
      <c r="F65">
        <v>8</v>
      </c>
      <c r="G65">
        <v>4500</v>
      </c>
      <c r="H65">
        <v>36000</v>
      </c>
    </row>
    <row r="66" spans="1:8" x14ac:dyDescent="0.3">
      <c r="A66">
        <v>1065</v>
      </c>
      <c r="B66" s="4">
        <v>46197</v>
      </c>
      <c r="C66" t="s">
        <v>18</v>
      </c>
      <c r="D66" t="s">
        <v>12</v>
      </c>
      <c r="E66" t="s">
        <v>15</v>
      </c>
      <c r="F66">
        <v>5</v>
      </c>
      <c r="G66">
        <v>50000</v>
      </c>
      <c r="H66">
        <v>250000</v>
      </c>
    </row>
    <row r="67" spans="1:8" x14ac:dyDescent="0.3">
      <c r="A67">
        <v>1066</v>
      </c>
      <c r="B67" s="4">
        <v>46042</v>
      </c>
      <c r="C67" t="s">
        <v>19</v>
      </c>
      <c r="D67" t="s">
        <v>12</v>
      </c>
      <c r="E67" t="s">
        <v>15</v>
      </c>
      <c r="F67">
        <v>4</v>
      </c>
      <c r="G67">
        <v>3200</v>
      </c>
      <c r="H67">
        <v>12800</v>
      </c>
    </row>
    <row r="68" spans="1:8" x14ac:dyDescent="0.3">
      <c r="A68">
        <v>1067</v>
      </c>
      <c r="B68" s="4">
        <v>46099</v>
      </c>
      <c r="C68" t="s">
        <v>21</v>
      </c>
      <c r="D68" t="s">
        <v>22</v>
      </c>
      <c r="E68" t="s">
        <v>13</v>
      </c>
      <c r="F68">
        <v>4</v>
      </c>
      <c r="G68">
        <v>4500</v>
      </c>
      <c r="H68">
        <v>18000</v>
      </c>
    </row>
    <row r="69" spans="1:8" x14ac:dyDescent="0.3">
      <c r="A69">
        <v>1068</v>
      </c>
      <c r="B69" s="4">
        <v>46133</v>
      </c>
      <c r="C69" t="s">
        <v>18</v>
      </c>
      <c r="D69" t="s">
        <v>12</v>
      </c>
      <c r="E69" t="s">
        <v>10</v>
      </c>
      <c r="F69">
        <v>5</v>
      </c>
      <c r="G69">
        <v>50000</v>
      </c>
      <c r="H69">
        <v>250000</v>
      </c>
    </row>
    <row r="70" spans="1:8" x14ac:dyDescent="0.3">
      <c r="A70">
        <v>1069</v>
      </c>
      <c r="B70" s="4">
        <v>46182</v>
      </c>
      <c r="C70" t="s">
        <v>19</v>
      </c>
      <c r="D70" t="s">
        <v>12</v>
      </c>
      <c r="E70" t="s">
        <v>10</v>
      </c>
      <c r="F70">
        <v>7</v>
      </c>
      <c r="G70">
        <v>3200</v>
      </c>
      <c r="H70">
        <v>22400</v>
      </c>
    </row>
    <row r="71" spans="1:8" x14ac:dyDescent="0.3">
      <c r="A71">
        <v>1070</v>
      </c>
      <c r="B71" s="4">
        <v>46103</v>
      </c>
      <c r="C71" t="s">
        <v>14</v>
      </c>
      <c r="D71" t="s">
        <v>12</v>
      </c>
      <c r="E71" t="s">
        <v>13</v>
      </c>
      <c r="F71">
        <v>8</v>
      </c>
      <c r="G71">
        <v>2500</v>
      </c>
      <c r="H71">
        <v>20000</v>
      </c>
    </row>
    <row r="72" spans="1:8" x14ac:dyDescent="0.3">
      <c r="A72">
        <v>1071</v>
      </c>
      <c r="B72" s="4">
        <v>46090</v>
      </c>
      <c r="C72" t="s">
        <v>23</v>
      </c>
      <c r="D72" t="s">
        <v>9</v>
      </c>
      <c r="E72" t="s">
        <v>15</v>
      </c>
      <c r="F72">
        <v>8</v>
      </c>
      <c r="G72">
        <v>120</v>
      </c>
      <c r="H72">
        <v>960</v>
      </c>
    </row>
    <row r="73" spans="1:8" x14ac:dyDescent="0.3">
      <c r="A73">
        <v>1072</v>
      </c>
      <c r="B73" s="4">
        <v>46110</v>
      </c>
      <c r="C73" t="s">
        <v>21</v>
      </c>
      <c r="D73" t="s">
        <v>22</v>
      </c>
      <c r="E73" t="s">
        <v>15</v>
      </c>
      <c r="F73">
        <v>1</v>
      </c>
      <c r="G73">
        <v>4500</v>
      </c>
      <c r="H73">
        <v>4500</v>
      </c>
    </row>
    <row r="74" spans="1:8" x14ac:dyDescent="0.3">
      <c r="A74">
        <v>1073</v>
      </c>
      <c r="B74" s="4">
        <v>46183</v>
      </c>
      <c r="C74" t="s">
        <v>21</v>
      </c>
      <c r="D74" t="s">
        <v>22</v>
      </c>
      <c r="E74" t="s">
        <v>15</v>
      </c>
      <c r="F74">
        <v>2</v>
      </c>
      <c r="G74">
        <v>4500</v>
      </c>
      <c r="H74">
        <v>9000</v>
      </c>
    </row>
    <row r="75" spans="1:8" x14ac:dyDescent="0.3">
      <c r="A75">
        <v>1074</v>
      </c>
      <c r="B75" s="4">
        <v>46165</v>
      </c>
      <c r="C75" t="s">
        <v>23</v>
      </c>
      <c r="D75" t="s">
        <v>9</v>
      </c>
      <c r="E75" t="s">
        <v>10</v>
      </c>
      <c r="F75">
        <v>5</v>
      </c>
      <c r="G75">
        <v>120</v>
      </c>
      <c r="H75">
        <v>600</v>
      </c>
    </row>
    <row r="76" spans="1:8" x14ac:dyDescent="0.3">
      <c r="A76">
        <v>1075</v>
      </c>
      <c r="B76" s="4">
        <v>46035</v>
      </c>
      <c r="C76" t="s">
        <v>21</v>
      </c>
      <c r="D76" t="s">
        <v>22</v>
      </c>
      <c r="E76" t="s">
        <v>13</v>
      </c>
      <c r="F76">
        <v>3</v>
      </c>
      <c r="G76">
        <v>4500</v>
      </c>
      <c r="H76">
        <v>13500</v>
      </c>
    </row>
    <row r="77" spans="1:8" x14ac:dyDescent="0.3">
      <c r="A77">
        <v>1076</v>
      </c>
      <c r="B77" s="4">
        <v>46043</v>
      </c>
      <c r="C77" t="s">
        <v>24</v>
      </c>
      <c r="D77" t="s">
        <v>17</v>
      </c>
      <c r="E77" t="s">
        <v>13</v>
      </c>
      <c r="F77">
        <v>8</v>
      </c>
      <c r="G77">
        <v>600</v>
      </c>
      <c r="H77">
        <v>4800</v>
      </c>
    </row>
    <row r="78" spans="1:8" x14ac:dyDescent="0.3">
      <c r="A78">
        <v>1077</v>
      </c>
      <c r="B78" s="4">
        <v>46086</v>
      </c>
      <c r="C78" t="s">
        <v>25</v>
      </c>
      <c r="D78" t="s">
        <v>22</v>
      </c>
      <c r="E78" t="s">
        <v>13</v>
      </c>
      <c r="F78">
        <v>8</v>
      </c>
      <c r="G78">
        <v>8000</v>
      </c>
      <c r="H78">
        <v>64000</v>
      </c>
    </row>
    <row r="79" spans="1:8" x14ac:dyDescent="0.3">
      <c r="A79">
        <v>1078</v>
      </c>
      <c r="B79" s="4">
        <v>46037</v>
      </c>
      <c r="C79" t="s">
        <v>16</v>
      </c>
      <c r="D79" t="s">
        <v>17</v>
      </c>
      <c r="E79" t="s">
        <v>20</v>
      </c>
      <c r="F79">
        <v>4</v>
      </c>
      <c r="G79">
        <v>1200</v>
      </c>
      <c r="H79">
        <v>4800</v>
      </c>
    </row>
    <row r="80" spans="1:8" x14ac:dyDescent="0.3">
      <c r="A80">
        <v>1079</v>
      </c>
      <c r="B80" s="4">
        <v>46160</v>
      </c>
      <c r="C80" t="s">
        <v>21</v>
      </c>
      <c r="D80" t="s">
        <v>22</v>
      </c>
      <c r="E80" t="s">
        <v>20</v>
      </c>
      <c r="F80">
        <v>7</v>
      </c>
      <c r="G80">
        <v>4500</v>
      </c>
      <c r="H80">
        <v>31500</v>
      </c>
    </row>
    <row r="81" spans="1:8" x14ac:dyDescent="0.3">
      <c r="A81">
        <v>1080</v>
      </c>
      <c r="B81" s="4">
        <v>46094</v>
      </c>
      <c r="C81" t="s">
        <v>23</v>
      </c>
      <c r="D81" t="s">
        <v>9</v>
      </c>
      <c r="E81" t="s">
        <v>15</v>
      </c>
      <c r="F81">
        <v>1</v>
      </c>
      <c r="G81">
        <v>120</v>
      </c>
      <c r="H81">
        <v>120</v>
      </c>
    </row>
    <row r="82" spans="1:8" x14ac:dyDescent="0.3">
      <c r="A82">
        <v>1081</v>
      </c>
      <c r="B82" s="4">
        <v>46119</v>
      </c>
      <c r="C82" t="s">
        <v>25</v>
      </c>
      <c r="D82" t="s">
        <v>22</v>
      </c>
      <c r="E82" t="s">
        <v>13</v>
      </c>
      <c r="F82">
        <v>2</v>
      </c>
      <c r="G82">
        <v>8000</v>
      </c>
      <c r="H82">
        <v>16000</v>
      </c>
    </row>
    <row r="83" spans="1:8" x14ac:dyDescent="0.3">
      <c r="A83">
        <v>1082</v>
      </c>
      <c r="B83" s="4">
        <v>46088</v>
      </c>
      <c r="C83" t="s">
        <v>8</v>
      </c>
      <c r="D83" t="s">
        <v>9</v>
      </c>
      <c r="E83" t="s">
        <v>13</v>
      </c>
      <c r="F83">
        <v>6</v>
      </c>
      <c r="G83">
        <v>18000</v>
      </c>
      <c r="H83">
        <v>108000</v>
      </c>
    </row>
    <row r="84" spans="1:8" x14ac:dyDescent="0.3">
      <c r="A84">
        <v>1083</v>
      </c>
      <c r="B84" s="4">
        <v>46076</v>
      </c>
      <c r="C84" t="s">
        <v>18</v>
      </c>
      <c r="D84" t="s">
        <v>12</v>
      </c>
      <c r="E84" t="s">
        <v>20</v>
      </c>
      <c r="F84">
        <v>5</v>
      </c>
      <c r="G84">
        <v>50000</v>
      </c>
      <c r="H84">
        <v>250000</v>
      </c>
    </row>
    <row r="85" spans="1:8" x14ac:dyDescent="0.3">
      <c r="A85">
        <v>1084</v>
      </c>
      <c r="B85" s="4">
        <v>46122</v>
      </c>
      <c r="C85" t="s">
        <v>8</v>
      </c>
      <c r="D85" t="s">
        <v>9</v>
      </c>
      <c r="E85" t="s">
        <v>15</v>
      </c>
      <c r="F85">
        <v>6</v>
      </c>
      <c r="G85">
        <v>18000</v>
      </c>
      <c r="H85">
        <v>108000</v>
      </c>
    </row>
    <row r="86" spans="1:8" x14ac:dyDescent="0.3">
      <c r="A86">
        <v>1085</v>
      </c>
      <c r="B86" s="4">
        <v>46044</v>
      </c>
      <c r="C86" t="s">
        <v>16</v>
      </c>
      <c r="D86" t="s">
        <v>17</v>
      </c>
      <c r="E86" t="s">
        <v>10</v>
      </c>
      <c r="F86">
        <v>1</v>
      </c>
      <c r="G86">
        <v>1200</v>
      </c>
      <c r="H86">
        <v>1200</v>
      </c>
    </row>
    <row r="87" spans="1:8" x14ac:dyDescent="0.3">
      <c r="A87">
        <v>1086</v>
      </c>
      <c r="B87" s="4">
        <v>46119</v>
      </c>
      <c r="C87" t="s">
        <v>23</v>
      </c>
      <c r="D87" t="s">
        <v>9</v>
      </c>
      <c r="E87" t="s">
        <v>15</v>
      </c>
      <c r="F87">
        <v>1</v>
      </c>
      <c r="G87">
        <v>120</v>
      </c>
      <c r="H87">
        <v>120</v>
      </c>
    </row>
    <row r="88" spans="1:8" x14ac:dyDescent="0.3">
      <c r="A88">
        <v>1087</v>
      </c>
      <c r="B88" s="4">
        <v>46188</v>
      </c>
      <c r="C88" t="s">
        <v>16</v>
      </c>
      <c r="D88" t="s">
        <v>17</v>
      </c>
      <c r="E88" t="s">
        <v>13</v>
      </c>
      <c r="F88">
        <v>6</v>
      </c>
      <c r="G88">
        <v>1200</v>
      </c>
      <c r="H88">
        <v>7200</v>
      </c>
    </row>
    <row r="89" spans="1:8" x14ac:dyDescent="0.3">
      <c r="A89">
        <v>1088</v>
      </c>
      <c r="B89" s="4">
        <v>46027</v>
      </c>
      <c r="C89" t="s">
        <v>25</v>
      </c>
      <c r="D89" t="s">
        <v>22</v>
      </c>
      <c r="E89" t="s">
        <v>15</v>
      </c>
      <c r="F89">
        <v>8</v>
      </c>
      <c r="G89">
        <v>8000</v>
      </c>
      <c r="H89">
        <v>64000</v>
      </c>
    </row>
    <row r="90" spans="1:8" x14ac:dyDescent="0.3">
      <c r="A90">
        <v>1089</v>
      </c>
      <c r="B90" s="4">
        <v>46171</v>
      </c>
      <c r="C90" t="s">
        <v>16</v>
      </c>
      <c r="D90" t="s">
        <v>17</v>
      </c>
      <c r="E90" t="s">
        <v>15</v>
      </c>
      <c r="F90">
        <v>6</v>
      </c>
      <c r="G90">
        <v>1200</v>
      </c>
      <c r="H90">
        <v>7200</v>
      </c>
    </row>
    <row r="91" spans="1:8" x14ac:dyDescent="0.3">
      <c r="A91">
        <v>1090</v>
      </c>
      <c r="B91" s="4">
        <v>46067</v>
      </c>
      <c r="C91" t="s">
        <v>16</v>
      </c>
      <c r="D91" t="s">
        <v>17</v>
      </c>
      <c r="E91" t="s">
        <v>10</v>
      </c>
      <c r="F91">
        <v>8</v>
      </c>
      <c r="G91">
        <v>1200</v>
      </c>
      <c r="H91">
        <v>9600</v>
      </c>
    </row>
    <row r="92" spans="1:8" x14ac:dyDescent="0.3">
      <c r="A92">
        <v>1091</v>
      </c>
      <c r="B92" s="4">
        <v>46094</v>
      </c>
      <c r="C92" t="s">
        <v>19</v>
      </c>
      <c r="D92" t="s">
        <v>12</v>
      </c>
      <c r="E92" t="s">
        <v>20</v>
      </c>
      <c r="F92">
        <v>1</v>
      </c>
      <c r="G92">
        <v>3200</v>
      </c>
      <c r="H92">
        <v>3200</v>
      </c>
    </row>
    <row r="93" spans="1:8" x14ac:dyDescent="0.3">
      <c r="A93">
        <v>1092</v>
      </c>
      <c r="B93" s="4">
        <v>46055</v>
      </c>
      <c r="C93" t="s">
        <v>8</v>
      </c>
      <c r="D93" t="s">
        <v>9</v>
      </c>
      <c r="E93" t="s">
        <v>15</v>
      </c>
      <c r="F93">
        <v>6</v>
      </c>
      <c r="G93">
        <v>18000</v>
      </c>
      <c r="H93">
        <v>108000</v>
      </c>
    </row>
    <row r="94" spans="1:8" x14ac:dyDescent="0.3">
      <c r="A94">
        <v>1093</v>
      </c>
      <c r="B94" s="4">
        <v>46084</v>
      </c>
      <c r="C94" t="s">
        <v>8</v>
      </c>
      <c r="D94" t="s">
        <v>9</v>
      </c>
      <c r="E94" t="s">
        <v>20</v>
      </c>
      <c r="F94">
        <v>1</v>
      </c>
      <c r="G94">
        <v>18000</v>
      </c>
      <c r="H94">
        <v>18000</v>
      </c>
    </row>
    <row r="95" spans="1:8" x14ac:dyDescent="0.3">
      <c r="A95">
        <v>1094</v>
      </c>
      <c r="B95" s="4">
        <v>46084</v>
      </c>
      <c r="C95" t="s">
        <v>16</v>
      </c>
      <c r="D95" t="s">
        <v>17</v>
      </c>
      <c r="E95" t="s">
        <v>13</v>
      </c>
      <c r="F95">
        <v>2</v>
      </c>
      <c r="G95">
        <v>1200</v>
      </c>
      <c r="H95">
        <v>2400</v>
      </c>
    </row>
    <row r="96" spans="1:8" x14ac:dyDescent="0.3">
      <c r="A96">
        <v>1095</v>
      </c>
      <c r="B96" s="4">
        <v>46113</v>
      </c>
      <c r="C96" t="s">
        <v>11</v>
      </c>
      <c r="D96" t="s">
        <v>12</v>
      </c>
      <c r="E96" t="s">
        <v>20</v>
      </c>
      <c r="F96">
        <v>3</v>
      </c>
      <c r="G96">
        <v>15000</v>
      </c>
      <c r="H96">
        <v>45000</v>
      </c>
    </row>
    <row r="97" spans="1:8" x14ac:dyDescent="0.3">
      <c r="A97">
        <v>1096</v>
      </c>
      <c r="B97" s="4">
        <v>46082</v>
      </c>
      <c r="C97" t="s">
        <v>23</v>
      </c>
      <c r="D97" t="s">
        <v>9</v>
      </c>
      <c r="E97" t="s">
        <v>15</v>
      </c>
      <c r="F97">
        <v>4</v>
      </c>
      <c r="G97">
        <v>120</v>
      </c>
      <c r="H97">
        <v>480</v>
      </c>
    </row>
    <row r="98" spans="1:8" x14ac:dyDescent="0.3">
      <c r="A98">
        <v>1097</v>
      </c>
      <c r="B98" s="4">
        <v>46139</v>
      </c>
      <c r="C98" t="s">
        <v>23</v>
      </c>
      <c r="D98" t="s">
        <v>9</v>
      </c>
      <c r="E98" t="s">
        <v>20</v>
      </c>
      <c r="F98">
        <v>2</v>
      </c>
      <c r="G98">
        <v>120</v>
      </c>
      <c r="H98">
        <v>240</v>
      </c>
    </row>
    <row r="99" spans="1:8" x14ac:dyDescent="0.3">
      <c r="A99">
        <v>1098</v>
      </c>
      <c r="B99" s="4">
        <v>46143</v>
      </c>
      <c r="C99" t="s">
        <v>24</v>
      </c>
      <c r="D99" t="s">
        <v>17</v>
      </c>
      <c r="E99" t="s">
        <v>10</v>
      </c>
      <c r="F99">
        <v>1</v>
      </c>
      <c r="G99">
        <v>600</v>
      </c>
      <c r="H99">
        <v>600</v>
      </c>
    </row>
    <row r="100" spans="1:8" x14ac:dyDescent="0.3">
      <c r="A100">
        <v>1099</v>
      </c>
      <c r="B100" s="4">
        <v>46198</v>
      </c>
      <c r="C100" t="s">
        <v>14</v>
      </c>
      <c r="D100" t="s">
        <v>12</v>
      </c>
      <c r="E100" t="s">
        <v>10</v>
      </c>
      <c r="F100">
        <v>1</v>
      </c>
      <c r="G100">
        <v>2500</v>
      </c>
      <c r="H100">
        <v>2500</v>
      </c>
    </row>
    <row r="101" spans="1:8" x14ac:dyDescent="0.3">
      <c r="A101">
        <v>1100</v>
      </c>
      <c r="B101" s="4">
        <v>46138</v>
      </c>
      <c r="C101" t="s">
        <v>24</v>
      </c>
      <c r="D101" t="s">
        <v>17</v>
      </c>
      <c r="E101" t="s">
        <v>13</v>
      </c>
      <c r="F101">
        <v>7</v>
      </c>
      <c r="G101">
        <v>600</v>
      </c>
      <c r="H101">
        <v>4200</v>
      </c>
    </row>
    <row r="102" spans="1:8" x14ac:dyDescent="0.3">
      <c r="A102">
        <v>1101</v>
      </c>
      <c r="B102" s="4">
        <v>46162</v>
      </c>
      <c r="C102" t="s">
        <v>8</v>
      </c>
      <c r="D102" t="s">
        <v>9</v>
      </c>
      <c r="E102" t="s">
        <v>20</v>
      </c>
      <c r="F102">
        <v>7</v>
      </c>
      <c r="G102">
        <v>18000</v>
      </c>
      <c r="H102">
        <v>126000</v>
      </c>
    </row>
    <row r="103" spans="1:8" x14ac:dyDescent="0.3">
      <c r="A103">
        <v>1102</v>
      </c>
      <c r="B103" s="4">
        <v>46026</v>
      </c>
      <c r="C103" t="s">
        <v>14</v>
      </c>
      <c r="D103" t="s">
        <v>12</v>
      </c>
      <c r="E103" t="s">
        <v>10</v>
      </c>
      <c r="F103">
        <v>1</v>
      </c>
      <c r="G103">
        <v>2500</v>
      </c>
      <c r="H103">
        <v>2500</v>
      </c>
    </row>
    <row r="104" spans="1:8" x14ac:dyDescent="0.3">
      <c r="A104">
        <v>1103</v>
      </c>
      <c r="B104" s="4">
        <v>46166</v>
      </c>
      <c r="C104" t="s">
        <v>14</v>
      </c>
      <c r="D104" t="s">
        <v>12</v>
      </c>
      <c r="E104" t="s">
        <v>20</v>
      </c>
      <c r="F104">
        <v>7</v>
      </c>
      <c r="G104">
        <v>2500</v>
      </c>
      <c r="H104">
        <v>17500</v>
      </c>
    </row>
    <row r="105" spans="1:8" x14ac:dyDescent="0.3">
      <c r="A105">
        <v>1104</v>
      </c>
      <c r="B105" s="4">
        <v>46081</v>
      </c>
      <c r="C105" t="s">
        <v>11</v>
      </c>
      <c r="D105" t="s">
        <v>12</v>
      </c>
      <c r="E105" t="s">
        <v>20</v>
      </c>
      <c r="F105">
        <v>1</v>
      </c>
      <c r="G105">
        <v>15000</v>
      </c>
      <c r="H105">
        <v>15000</v>
      </c>
    </row>
    <row r="106" spans="1:8" x14ac:dyDescent="0.3">
      <c r="A106">
        <v>1105</v>
      </c>
      <c r="B106" s="4">
        <v>46107</v>
      </c>
      <c r="C106" t="s">
        <v>19</v>
      </c>
      <c r="D106" t="s">
        <v>12</v>
      </c>
      <c r="E106" t="s">
        <v>13</v>
      </c>
      <c r="F106">
        <v>7</v>
      </c>
      <c r="G106">
        <v>3200</v>
      </c>
      <c r="H106">
        <v>22400</v>
      </c>
    </row>
    <row r="107" spans="1:8" x14ac:dyDescent="0.3">
      <c r="A107">
        <v>1106</v>
      </c>
      <c r="B107" s="4">
        <v>46086</v>
      </c>
      <c r="C107" t="s">
        <v>23</v>
      </c>
      <c r="D107" t="s">
        <v>9</v>
      </c>
      <c r="E107" t="s">
        <v>10</v>
      </c>
      <c r="F107">
        <v>1</v>
      </c>
      <c r="G107">
        <v>120</v>
      </c>
      <c r="H107">
        <v>120</v>
      </c>
    </row>
    <row r="108" spans="1:8" x14ac:dyDescent="0.3">
      <c r="A108">
        <v>1107</v>
      </c>
      <c r="B108" s="4">
        <v>46128</v>
      </c>
      <c r="C108" t="s">
        <v>18</v>
      </c>
      <c r="D108" t="s">
        <v>12</v>
      </c>
      <c r="E108" t="s">
        <v>13</v>
      </c>
      <c r="F108">
        <v>7</v>
      </c>
      <c r="G108">
        <v>50000</v>
      </c>
      <c r="H108">
        <v>350000</v>
      </c>
    </row>
    <row r="109" spans="1:8" x14ac:dyDescent="0.3">
      <c r="A109">
        <v>1108</v>
      </c>
      <c r="B109" s="4">
        <v>46047</v>
      </c>
      <c r="C109" t="s">
        <v>8</v>
      </c>
      <c r="D109" t="s">
        <v>9</v>
      </c>
      <c r="E109" t="s">
        <v>15</v>
      </c>
      <c r="F109">
        <v>4</v>
      </c>
      <c r="G109">
        <v>18000</v>
      </c>
      <c r="H109">
        <v>72000</v>
      </c>
    </row>
    <row r="110" spans="1:8" x14ac:dyDescent="0.3">
      <c r="A110">
        <v>1109</v>
      </c>
      <c r="B110" s="4">
        <v>46071</v>
      </c>
      <c r="C110" t="s">
        <v>21</v>
      </c>
      <c r="D110" t="s">
        <v>22</v>
      </c>
      <c r="E110" t="s">
        <v>13</v>
      </c>
      <c r="F110">
        <v>1</v>
      </c>
      <c r="G110">
        <v>4500</v>
      </c>
      <c r="H110">
        <v>4500</v>
      </c>
    </row>
    <row r="111" spans="1:8" x14ac:dyDescent="0.3">
      <c r="A111">
        <v>1110</v>
      </c>
      <c r="B111" s="4">
        <v>46116</v>
      </c>
      <c r="C111" t="s">
        <v>11</v>
      </c>
      <c r="D111" t="s">
        <v>12</v>
      </c>
      <c r="E111" t="s">
        <v>10</v>
      </c>
      <c r="F111">
        <v>6</v>
      </c>
      <c r="G111">
        <v>15000</v>
      </c>
      <c r="H111">
        <v>90000</v>
      </c>
    </row>
    <row r="112" spans="1:8" x14ac:dyDescent="0.3">
      <c r="A112">
        <v>1111</v>
      </c>
      <c r="B112" s="4">
        <v>46120</v>
      </c>
      <c r="C112" t="s">
        <v>23</v>
      </c>
      <c r="D112" t="s">
        <v>9</v>
      </c>
      <c r="E112" t="s">
        <v>10</v>
      </c>
      <c r="F112">
        <v>5</v>
      </c>
      <c r="G112">
        <v>120</v>
      </c>
      <c r="H112">
        <v>600</v>
      </c>
    </row>
    <row r="113" spans="1:8" x14ac:dyDescent="0.3">
      <c r="A113">
        <v>1112</v>
      </c>
      <c r="B113" s="4">
        <v>46044</v>
      </c>
      <c r="C113" t="s">
        <v>16</v>
      </c>
      <c r="D113" t="s">
        <v>17</v>
      </c>
      <c r="E113" t="s">
        <v>20</v>
      </c>
      <c r="F113">
        <v>1</v>
      </c>
      <c r="G113">
        <v>1200</v>
      </c>
      <c r="H113">
        <v>1200</v>
      </c>
    </row>
    <row r="114" spans="1:8" x14ac:dyDescent="0.3">
      <c r="A114">
        <v>1113</v>
      </c>
      <c r="B114" s="4">
        <v>46126</v>
      </c>
      <c r="C114" t="s">
        <v>19</v>
      </c>
      <c r="D114" t="s">
        <v>12</v>
      </c>
      <c r="E114" t="s">
        <v>13</v>
      </c>
      <c r="F114">
        <v>2</v>
      </c>
      <c r="G114">
        <v>3200</v>
      </c>
      <c r="H114">
        <v>6400</v>
      </c>
    </row>
    <row r="115" spans="1:8" x14ac:dyDescent="0.3">
      <c r="A115">
        <v>1114</v>
      </c>
      <c r="B115" s="4">
        <v>46191</v>
      </c>
      <c r="C115" t="s">
        <v>19</v>
      </c>
      <c r="D115" t="s">
        <v>12</v>
      </c>
      <c r="E115" t="s">
        <v>20</v>
      </c>
      <c r="F115">
        <v>8</v>
      </c>
      <c r="G115">
        <v>3200</v>
      </c>
      <c r="H115">
        <v>25600</v>
      </c>
    </row>
    <row r="116" spans="1:8" x14ac:dyDescent="0.3">
      <c r="A116">
        <v>1115</v>
      </c>
      <c r="B116" s="4">
        <v>46107</v>
      </c>
      <c r="C116" t="s">
        <v>19</v>
      </c>
      <c r="D116" t="s">
        <v>12</v>
      </c>
      <c r="E116" t="s">
        <v>15</v>
      </c>
      <c r="F116">
        <v>2</v>
      </c>
      <c r="G116">
        <v>3200</v>
      </c>
      <c r="H116">
        <v>6400</v>
      </c>
    </row>
    <row r="117" spans="1:8" x14ac:dyDescent="0.3">
      <c r="A117">
        <v>1116</v>
      </c>
      <c r="B117" s="4">
        <v>46116</v>
      </c>
      <c r="C117" t="s">
        <v>23</v>
      </c>
      <c r="D117" t="s">
        <v>9</v>
      </c>
      <c r="E117" t="s">
        <v>15</v>
      </c>
      <c r="F117">
        <v>1</v>
      </c>
      <c r="G117">
        <v>120</v>
      </c>
      <c r="H117">
        <v>120</v>
      </c>
    </row>
    <row r="118" spans="1:8" x14ac:dyDescent="0.3">
      <c r="A118">
        <v>1117</v>
      </c>
      <c r="B118" s="4">
        <v>46133</v>
      </c>
      <c r="C118" t="s">
        <v>11</v>
      </c>
      <c r="D118" t="s">
        <v>12</v>
      </c>
      <c r="E118" t="s">
        <v>13</v>
      </c>
      <c r="F118">
        <v>5</v>
      </c>
      <c r="G118">
        <v>15000</v>
      </c>
      <c r="H118">
        <v>75000</v>
      </c>
    </row>
    <row r="119" spans="1:8" x14ac:dyDescent="0.3">
      <c r="A119">
        <v>1118</v>
      </c>
      <c r="B119" s="4">
        <v>46129</v>
      </c>
      <c r="C119" t="s">
        <v>18</v>
      </c>
      <c r="D119" t="s">
        <v>12</v>
      </c>
      <c r="E119" t="s">
        <v>20</v>
      </c>
      <c r="F119">
        <v>6</v>
      </c>
      <c r="G119">
        <v>50000</v>
      </c>
      <c r="H119">
        <v>300000</v>
      </c>
    </row>
    <row r="120" spans="1:8" x14ac:dyDescent="0.3">
      <c r="A120">
        <v>1119</v>
      </c>
      <c r="B120" s="4">
        <v>46158</v>
      </c>
      <c r="C120" t="s">
        <v>25</v>
      </c>
      <c r="D120" t="s">
        <v>22</v>
      </c>
      <c r="E120" t="s">
        <v>15</v>
      </c>
      <c r="F120">
        <v>5</v>
      </c>
      <c r="G120">
        <v>8000</v>
      </c>
      <c r="H120">
        <v>40000</v>
      </c>
    </row>
    <row r="121" spans="1:8" x14ac:dyDescent="0.3">
      <c r="A121">
        <v>1120</v>
      </c>
      <c r="B121" s="4">
        <v>46160</v>
      </c>
      <c r="C121" t="s">
        <v>18</v>
      </c>
      <c r="D121" t="s">
        <v>12</v>
      </c>
      <c r="E121" t="s">
        <v>20</v>
      </c>
      <c r="F121">
        <v>5</v>
      </c>
      <c r="G121">
        <v>50000</v>
      </c>
      <c r="H121">
        <v>250000</v>
      </c>
    </row>
    <row r="122" spans="1:8" x14ac:dyDescent="0.3">
      <c r="A122">
        <v>1121</v>
      </c>
      <c r="B122" s="4">
        <v>46179</v>
      </c>
      <c r="C122" t="s">
        <v>18</v>
      </c>
      <c r="D122" t="s">
        <v>12</v>
      </c>
      <c r="E122" t="s">
        <v>15</v>
      </c>
      <c r="F122">
        <v>3</v>
      </c>
      <c r="G122">
        <v>50000</v>
      </c>
      <c r="H122">
        <v>150000</v>
      </c>
    </row>
    <row r="123" spans="1:8" x14ac:dyDescent="0.3">
      <c r="A123">
        <v>1122</v>
      </c>
      <c r="B123" s="4">
        <v>46148</v>
      </c>
      <c r="C123" t="s">
        <v>21</v>
      </c>
      <c r="D123" t="s">
        <v>22</v>
      </c>
      <c r="E123" t="s">
        <v>15</v>
      </c>
      <c r="F123">
        <v>1</v>
      </c>
      <c r="G123">
        <v>4500</v>
      </c>
      <c r="H123">
        <v>4500</v>
      </c>
    </row>
    <row r="124" spans="1:8" x14ac:dyDescent="0.3">
      <c r="A124">
        <v>1123</v>
      </c>
      <c r="B124" s="4">
        <v>46081</v>
      </c>
      <c r="C124" t="s">
        <v>21</v>
      </c>
      <c r="D124" t="s">
        <v>22</v>
      </c>
      <c r="E124" t="s">
        <v>13</v>
      </c>
      <c r="F124">
        <v>2</v>
      </c>
      <c r="G124">
        <v>4500</v>
      </c>
      <c r="H124">
        <v>9000</v>
      </c>
    </row>
    <row r="125" spans="1:8" x14ac:dyDescent="0.3">
      <c r="A125">
        <v>1124</v>
      </c>
      <c r="B125" s="4">
        <v>46174</v>
      </c>
      <c r="C125" t="s">
        <v>21</v>
      </c>
      <c r="D125" t="s">
        <v>22</v>
      </c>
      <c r="E125" t="s">
        <v>20</v>
      </c>
      <c r="F125">
        <v>2</v>
      </c>
      <c r="G125">
        <v>4500</v>
      </c>
      <c r="H125">
        <v>9000</v>
      </c>
    </row>
    <row r="126" spans="1:8" x14ac:dyDescent="0.3">
      <c r="A126">
        <v>1125</v>
      </c>
      <c r="B126" s="4">
        <v>46047</v>
      </c>
      <c r="C126" t="s">
        <v>25</v>
      </c>
      <c r="D126" t="s">
        <v>22</v>
      </c>
      <c r="E126" t="s">
        <v>20</v>
      </c>
      <c r="F126">
        <v>8</v>
      </c>
      <c r="G126">
        <v>8000</v>
      </c>
      <c r="H126">
        <v>64000</v>
      </c>
    </row>
    <row r="127" spans="1:8" x14ac:dyDescent="0.3">
      <c r="A127">
        <v>1126</v>
      </c>
      <c r="B127" s="4">
        <v>46097</v>
      </c>
      <c r="C127" t="s">
        <v>23</v>
      </c>
      <c r="D127" t="s">
        <v>9</v>
      </c>
      <c r="E127" t="s">
        <v>20</v>
      </c>
      <c r="F127">
        <v>6</v>
      </c>
      <c r="G127">
        <v>120</v>
      </c>
      <c r="H127">
        <v>720</v>
      </c>
    </row>
    <row r="128" spans="1:8" x14ac:dyDescent="0.3">
      <c r="A128">
        <v>1127</v>
      </c>
      <c r="B128" s="4">
        <v>46072</v>
      </c>
      <c r="C128" t="s">
        <v>16</v>
      </c>
      <c r="D128" t="s">
        <v>17</v>
      </c>
      <c r="E128" t="s">
        <v>13</v>
      </c>
      <c r="F128">
        <v>4</v>
      </c>
      <c r="G128">
        <v>1200</v>
      </c>
      <c r="H128">
        <v>4800</v>
      </c>
    </row>
    <row r="129" spans="1:8" x14ac:dyDescent="0.3">
      <c r="A129">
        <v>1128</v>
      </c>
      <c r="B129" s="4">
        <v>46183</v>
      </c>
      <c r="C129" t="s">
        <v>11</v>
      </c>
      <c r="D129" t="s">
        <v>12</v>
      </c>
      <c r="E129" t="s">
        <v>10</v>
      </c>
      <c r="F129">
        <v>3</v>
      </c>
      <c r="G129">
        <v>15000</v>
      </c>
      <c r="H129">
        <v>45000</v>
      </c>
    </row>
    <row r="130" spans="1:8" x14ac:dyDescent="0.3">
      <c r="A130">
        <v>1129</v>
      </c>
      <c r="B130" s="4">
        <v>46104</v>
      </c>
      <c r="C130" t="s">
        <v>18</v>
      </c>
      <c r="D130" t="s">
        <v>12</v>
      </c>
      <c r="E130" t="s">
        <v>10</v>
      </c>
      <c r="F130">
        <v>4</v>
      </c>
      <c r="G130">
        <v>50000</v>
      </c>
      <c r="H130">
        <v>200000</v>
      </c>
    </row>
    <row r="131" spans="1:8" x14ac:dyDescent="0.3">
      <c r="A131">
        <v>1130</v>
      </c>
      <c r="B131" s="4">
        <v>46113</v>
      </c>
      <c r="C131" t="s">
        <v>11</v>
      </c>
      <c r="D131" t="s">
        <v>12</v>
      </c>
      <c r="E131" t="s">
        <v>15</v>
      </c>
      <c r="F131">
        <v>6</v>
      </c>
      <c r="G131">
        <v>15000</v>
      </c>
      <c r="H131">
        <v>90000</v>
      </c>
    </row>
    <row r="132" spans="1:8" x14ac:dyDescent="0.3">
      <c r="A132">
        <v>1131</v>
      </c>
      <c r="B132" s="4">
        <v>46198</v>
      </c>
      <c r="C132" t="s">
        <v>21</v>
      </c>
      <c r="D132" t="s">
        <v>22</v>
      </c>
      <c r="E132" t="s">
        <v>20</v>
      </c>
      <c r="F132">
        <v>2</v>
      </c>
      <c r="G132">
        <v>4500</v>
      </c>
      <c r="H132">
        <v>9000</v>
      </c>
    </row>
    <row r="133" spans="1:8" x14ac:dyDescent="0.3">
      <c r="A133">
        <v>1132</v>
      </c>
      <c r="B133" s="4">
        <v>46094</v>
      </c>
      <c r="C133" t="s">
        <v>25</v>
      </c>
      <c r="D133" t="s">
        <v>22</v>
      </c>
      <c r="E133" t="s">
        <v>13</v>
      </c>
      <c r="F133">
        <v>4</v>
      </c>
      <c r="G133">
        <v>8000</v>
      </c>
      <c r="H133">
        <v>32000</v>
      </c>
    </row>
    <row r="134" spans="1:8" x14ac:dyDescent="0.3">
      <c r="A134">
        <v>1133</v>
      </c>
      <c r="B134" s="4">
        <v>46146</v>
      </c>
      <c r="C134" t="s">
        <v>8</v>
      </c>
      <c r="D134" t="s">
        <v>9</v>
      </c>
      <c r="E134" t="s">
        <v>15</v>
      </c>
      <c r="F134">
        <v>8</v>
      </c>
      <c r="G134">
        <v>18000</v>
      </c>
      <c r="H134">
        <v>144000</v>
      </c>
    </row>
    <row r="135" spans="1:8" x14ac:dyDescent="0.3">
      <c r="A135">
        <v>1134</v>
      </c>
      <c r="B135" s="4">
        <v>46049</v>
      </c>
      <c r="C135" t="s">
        <v>18</v>
      </c>
      <c r="D135" t="s">
        <v>12</v>
      </c>
      <c r="E135" t="s">
        <v>10</v>
      </c>
      <c r="F135">
        <v>2</v>
      </c>
      <c r="G135">
        <v>50000</v>
      </c>
      <c r="H135">
        <v>100000</v>
      </c>
    </row>
    <row r="136" spans="1:8" x14ac:dyDescent="0.3">
      <c r="A136">
        <v>1135</v>
      </c>
      <c r="B136" s="4">
        <v>46189</v>
      </c>
      <c r="C136" t="s">
        <v>16</v>
      </c>
      <c r="D136" t="s">
        <v>17</v>
      </c>
      <c r="E136" t="s">
        <v>15</v>
      </c>
      <c r="F136">
        <v>1</v>
      </c>
      <c r="G136">
        <v>1200</v>
      </c>
      <c r="H136">
        <v>1200</v>
      </c>
    </row>
    <row r="137" spans="1:8" x14ac:dyDescent="0.3">
      <c r="A137">
        <v>1136</v>
      </c>
      <c r="B137" s="4">
        <v>46053</v>
      </c>
      <c r="C137" t="s">
        <v>11</v>
      </c>
      <c r="D137" t="s">
        <v>12</v>
      </c>
      <c r="E137" t="s">
        <v>20</v>
      </c>
      <c r="F137">
        <v>4</v>
      </c>
      <c r="G137">
        <v>15000</v>
      </c>
      <c r="H137">
        <v>60000</v>
      </c>
    </row>
    <row r="138" spans="1:8" x14ac:dyDescent="0.3">
      <c r="A138">
        <v>1137</v>
      </c>
      <c r="B138" s="4">
        <v>46030</v>
      </c>
      <c r="C138" t="s">
        <v>24</v>
      </c>
      <c r="D138" t="s">
        <v>17</v>
      </c>
      <c r="E138" t="s">
        <v>13</v>
      </c>
      <c r="F138">
        <v>8</v>
      </c>
      <c r="G138">
        <v>600</v>
      </c>
      <c r="H138">
        <v>4800</v>
      </c>
    </row>
    <row r="139" spans="1:8" x14ac:dyDescent="0.3">
      <c r="A139">
        <v>1138</v>
      </c>
      <c r="B139" s="4">
        <v>46040</v>
      </c>
      <c r="C139" t="s">
        <v>19</v>
      </c>
      <c r="D139" t="s">
        <v>12</v>
      </c>
      <c r="E139" t="s">
        <v>15</v>
      </c>
      <c r="F139">
        <v>8</v>
      </c>
      <c r="G139">
        <v>3200</v>
      </c>
      <c r="H139">
        <v>25600</v>
      </c>
    </row>
    <row r="140" spans="1:8" x14ac:dyDescent="0.3">
      <c r="A140">
        <v>1139</v>
      </c>
      <c r="B140" s="4">
        <v>46141</v>
      </c>
      <c r="C140" t="s">
        <v>14</v>
      </c>
      <c r="D140" t="s">
        <v>12</v>
      </c>
      <c r="E140" t="s">
        <v>15</v>
      </c>
      <c r="F140">
        <v>6</v>
      </c>
      <c r="G140">
        <v>2500</v>
      </c>
      <c r="H140">
        <v>15000</v>
      </c>
    </row>
    <row r="141" spans="1:8" x14ac:dyDescent="0.3">
      <c r="A141">
        <v>1140</v>
      </c>
      <c r="B141" s="4">
        <v>46154</v>
      </c>
      <c r="C141" t="s">
        <v>21</v>
      </c>
      <c r="D141" t="s">
        <v>22</v>
      </c>
      <c r="E141" t="s">
        <v>15</v>
      </c>
      <c r="F141">
        <v>3</v>
      </c>
      <c r="G141">
        <v>4500</v>
      </c>
      <c r="H141">
        <v>13500</v>
      </c>
    </row>
    <row r="142" spans="1:8" x14ac:dyDescent="0.3">
      <c r="A142">
        <v>1141</v>
      </c>
      <c r="B142" s="4">
        <v>46095</v>
      </c>
      <c r="C142" t="s">
        <v>19</v>
      </c>
      <c r="D142" t="s">
        <v>12</v>
      </c>
      <c r="E142" t="s">
        <v>20</v>
      </c>
      <c r="F142">
        <v>4</v>
      </c>
      <c r="G142">
        <v>3200</v>
      </c>
      <c r="H142">
        <v>12800</v>
      </c>
    </row>
    <row r="143" spans="1:8" x14ac:dyDescent="0.3">
      <c r="A143">
        <v>1142</v>
      </c>
      <c r="B143" s="4">
        <v>46031</v>
      </c>
      <c r="C143" t="s">
        <v>23</v>
      </c>
      <c r="D143" t="s">
        <v>9</v>
      </c>
      <c r="E143" t="s">
        <v>13</v>
      </c>
      <c r="F143">
        <v>3</v>
      </c>
      <c r="G143">
        <v>120</v>
      </c>
      <c r="H143">
        <v>360</v>
      </c>
    </row>
    <row r="144" spans="1:8" x14ac:dyDescent="0.3">
      <c r="A144">
        <v>1143</v>
      </c>
      <c r="B144" s="4">
        <v>46170</v>
      </c>
      <c r="C144" t="s">
        <v>11</v>
      </c>
      <c r="D144" t="s">
        <v>12</v>
      </c>
      <c r="E144" t="s">
        <v>13</v>
      </c>
      <c r="F144">
        <v>5</v>
      </c>
      <c r="G144">
        <v>15000</v>
      </c>
      <c r="H144">
        <v>75000</v>
      </c>
    </row>
    <row r="145" spans="1:8" x14ac:dyDescent="0.3">
      <c r="A145">
        <v>1144</v>
      </c>
      <c r="B145" s="4">
        <v>46125</v>
      </c>
      <c r="C145" t="s">
        <v>23</v>
      </c>
      <c r="D145" t="s">
        <v>9</v>
      </c>
      <c r="E145" t="s">
        <v>10</v>
      </c>
      <c r="F145">
        <v>6</v>
      </c>
      <c r="G145">
        <v>120</v>
      </c>
      <c r="H145">
        <v>720</v>
      </c>
    </row>
    <row r="146" spans="1:8" x14ac:dyDescent="0.3">
      <c r="A146">
        <v>1145</v>
      </c>
      <c r="B146" s="4">
        <v>46063</v>
      </c>
      <c r="C146" t="s">
        <v>16</v>
      </c>
      <c r="D146" t="s">
        <v>17</v>
      </c>
      <c r="E146" t="s">
        <v>15</v>
      </c>
      <c r="F146">
        <v>5</v>
      </c>
      <c r="G146">
        <v>1200</v>
      </c>
      <c r="H146">
        <v>6000</v>
      </c>
    </row>
    <row r="147" spans="1:8" x14ac:dyDescent="0.3">
      <c r="A147">
        <v>1146</v>
      </c>
      <c r="B147" s="4">
        <v>46048</v>
      </c>
      <c r="C147" t="s">
        <v>25</v>
      </c>
      <c r="D147" t="s">
        <v>22</v>
      </c>
      <c r="E147" t="s">
        <v>15</v>
      </c>
      <c r="F147">
        <v>4</v>
      </c>
      <c r="G147">
        <v>8000</v>
      </c>
      <c r="H147">
        <v>32000</v>
      </c>
    </row>
    <row r="148" spans="1:8" x14ac:dyDescent="0.3">
      <c r="A148">
        <v>1147</v>
      </c>
      <c r="B148" s="4">
        <v>46045</v>
      </c>
      <c r="C148" t="s">
        <v>21</v>
      </c>
      <c r="D148" t="s">
        <v>22</v>
      </c>
      <c r="E148" t="s">
        <v>15</v>
      </c>
      <c r="F148">
        <v>8</v>
      </c>
      <c r="G148">
        <v>4500</v>
      </c>
      <c r="H148">
        <v>36000</v>
      </c>
    </row>
    <row r="149" spans="1:8" x14ac:dyDescent="0.3">
      <c r="A149">
        <v>1148</v>
      </c>
      <c r="B149" s="4">
        <v>46112</v>
      </c>
      <c r="C149" t="s">
        <v>11</v>
      </c>
      <c r="D149" t="s">
        <v>12</v>
      </c>
      <c r="E149" t="s">
        <v>13</v>
      </c>
      <c r="F149">
        <v>7</v>
      </c>
      <c r="G149">
        <v>15000</v>
      </c>
      <c r="H149">
        <v>105000</v>
      </c>
    </row>
    <row r="150" spans="1:8" x14ac:dyDescent="0.3">
      <c r="A150">
        <v>1149</v>
      </c>
      <c r="B150" s="4">
        <v>46127</v>
      </c>
      <c r="C150" t="s">
        <v>14</v>
      </c>
      <c r="D150" t="s">
        <v>12</v>
      </c>
      <c r="E150" t="s">
        <v>13</v>
      </c>
      <c r="F150">
        <v>6</v>
      </c>
      <c r="G150">
        <v>2500</v>
      </c>
      <c r="H150">
        <v>15000</v>
      </c>
    </row>
    <row r="151" spans="1:8" x14ac:dyDescent="0.3">
      <c r="A151">
        <v>1150</v>
      </c>
      <c r="B151" s="4">
        <v>46047</v>
      </c>
      <c r="C151" t="s">
        <v>18</v>
      </c>
      <c r="D151" t="s">
        <v>12</v>
      </c>
      <c r="E151" t="s">
        <v>13</v>
      </c>
      <c r="F151">
        <v>4</v>
      </c>
      <c r="G151">
        <v>50000</v>
      </c>
      <c r="H151">
        <v>200000</v>
      </c>
    </row>
    <row r="152" spans="1:8" x14ac:dyDescent="0.3">
      <c r="A152">
        <v>1151</v>
      </c>
      <c r="B152" s="4">
        <v>46072</v>
      </c>
      <c r="C152" t="s">
        <v>14</v>
      </c>
      <c r="D152" t="s">
        <v>12</v>
      </c>
      <c r="E152" t="s">
        <v>15</v>
      </c>
      <c r="F152">
        <v>2</v>
      </c>
      <c r="G152">
        <v>2500</v>
      </c>
      <c r="H152">
        <v>5000</v>
      </c>
    </row>
    <row r="153" spans="1:8" x14ac:dyDescent="0.3">
      <c r="A153">
        <v>1152</v>
      </c>
      <c r="B153" s="4">
        <v>46043</v>
      </c>
      <c r="C153" t="s">
        <v>14</v>
      </c>
      <c r="D153" t="s">
        <v>12</v>
      </c>
      <c r="E153" t="s">
        <v>15</v>
      </c>
      <c r="F153">
        <v>2</v>
      </c>
      <c r="G153">
        <v>2500</v>
      </c>
      <c r="H153">
        <v>5000</v>
      </c>
    </row>
    <row r="154" spans="1:8" x14ac:dyDescent="0.3">
      <c r="A154">
        <v>1153</v>
      </c>
      <c r="B154" s="4">
        <v>46154</v>
      </c>
      <c r="C154" t="s">
        <v>18</v>
      </c>
      <c r="D154" t="s">
        <v>12</v>
      </c>
      <c r="E154" t="s">
        <v>20</v>
      </c>
      <c r="F154">
        <v>4</v>
      </c>
      <c r="G154">
        <v>50000</v>
      </c>
      <c r="H154">
        <v>200000</v>
      </c>
    </row>
    <row r="155" spans="1:8" x14ac:dyDescent="0.3">
      <c r="A155">
        <v>1154</v>
      </c>
      <c r="B155" s="4">
        <v>46156</v>
      </c>
      <c r="C155" t="s">
        <v>25</v>
      </c>
      <c r="D155" t="s">
        <v>22</v>
      </c>
      <c r="E155" t="s">
        <v>15</v>
      </c>
      <c r="F155">
        <v>4</v>
      </c>
      <c r="G155">
        <v>8000</v>
      </c>
      <c r="H155">
        <v>32000</v>
      </c>
    </row>
    <row r="156" spans="1:8" x14ac:dyDescent="0.3">
      <c r="A156">
        <v>1155</v>
      </c>
      <c r="B156" s="4">
        <v>46099</v>
      </c>
      <c r="C156" t="s">
        <v>14</v>
      </c>
      <c r="D156" t="s">
        <v>12</v>
      </c>
      <c r="E156" t="s">
        <v>20</v>
      </c>
      <c r="F156">
        <v>3</v>
      </c>
      <c r="G156">
        <v>2500</v>
      </c>
      <c r="H156">
        <v>7500</v>
      </c>
    </row>
    <row r="157" spans="1:8" x14ac:dyDescent="0.3">
      <c r="A157">
        <v>1156</v>
      </c>
      <c r="B157" s="4">
        <v>46077</v>
      </c>
      <c r="C157" t="s">
        <v>16</v>
      </c>
      <c r="D157" t="s">
        <v>17</v>
      </c>
      <c r="E157" t="s">
        <v>20</v>
      </c>
      <c r="F157">
        <v>6</v>
      </c>
      <c r="G157">
        <v>1200</v>
      </c>
      <c r="H157">
        <v>7200</v>
      </c>
    </row>
    <row r="158" spans="1:8" x14ac:dyDescent="0.3">
      <c r="A158">
        <v>1157</v>
      </c>
      <c r="B158" s="4">
        <v>46162</v>
      </c>
      <c r="C158" t="s">
        <v>18</v>
      </c>
      <c r="D158" t="s">
        <v>12</v>
      </c>
      <c r="E158" t="s">
        <v>15</v>
      </c>
      <c r="F158">
        <v>2</v>
      </c>
      <c r="G158">
        <v>50000</v>
      </c>
      <c r="H158">
        <v>100000</v>
      </c>
    </row>
    <row r="159" spans="1:8" x14ac:dyDescent="0.3">
      <c r="A159">
        <v>1158</v>
      </c>
      <c r="B159" s="4">
        <v>46121</v>
      </c>
      <c r="C159" t="s">
        <v>8</v>
      </c>
      <c r="D159" t="s">
        <v>9</v>
      </c>
      <c r="E159" t="s">
        <v>20</v>
      </c>
      <c r="F159">
        <v>4</v>
      </c>
      <c r="G159">
        <v>18000</v>
      </c>
      <c r="H159">
        <v>72000</v>
      </c>
    </row>
    <row r="160" spans="1:8" x14ac:dyDescent="0.3">
      <c r="A160">
        <v>1159</v>
      </c>
      <c r="B160" s="4">
        <v>46089</v>
      </c>
      <c r="C160" t="s">
        <v>18</v>
      </c>
      <c r="D160" t="s">
        <v>12</v>
      </c>
      <c r="E160" t="s">
        <v>10</v>
      </c>
      <c r="F160">
        <v>8</v>
      </c>
      <c r="G160">
        <v>50000</v>
      </c>
      <c r="H160">
        <v>400000</v>
      </c>
    </row>
    <row r="161" spans="1:8" x14ac:dyDescent="0.3">
      <c r="A161">
        <v>1160</v>
      </c>
      <c r="B161" s="4">
        <v>46192</v>
      </c>
      <c r="C161" t="s">
        <v>11</v>
      </c>
      <c r="D161" t="s">
        <v>12</v>
      </c>
      <c r="E161" t="s">
        <v>20</v>
      </c>
      <c r="F161">
        <v>4</v>
      </c>
      <c r="G161">
        <v>15000</v>
      </c>
      <c r="H161">
        <v>60000</v>
      </c>
    </row>
    <row r="162" spans="1:8" x14ac:dyDescent="0.3">
      <c r="A162">
        <v>1161</v>
      </c>
      <c r="B162" s="4">
        <v>46152</v>
      </c>
      <c r="C162" t="s">
        <v>24</v>
      </c>
      <c r="D162" t="s">
        <v>17</v>
      </c>
      <c r="E162" t="s">
        <v>13</v>
      </c>
      <c r="F162">
        <v>4</v>
      </c>
      <c r="G162">
        <v>600</v>
      </c>
      <c r="H162">
        <v>2400</v>
      </c>
    </row>
    <row r="163" spans="1:8" x14ac:dyDescent="0.3">
      <c r="A163">
        <v>1162</v>
      </c>
      <c r="B163" s="4">
        <v>46118</v>
      </c>
      <c r="C163" t="s">
        <v>11</v>
      </c>
      <c r="D163" t="s">
        <v>12</v>
      </c>
      <c r="E163" t="s">
        <v>10</v>
      </c>
      <c r="F163">
        <v>1</v>
      </c>
      <c r="G163">
        <v>15000</v>
      </c>
      <c r="H163">
        <v>15000</v>
      </c>
    </row>
    <row r="164" spans="1:8" x14ac:dyDescent="0.3">
      <c r="A164">
        <v>1163</v>
      </c>
      <c r="B164" s="4">
        <v>46025</v>
      </c>
      <c r="C164" t="s">
        <v>24</v>
      </c>
      <c r="D164" t="s">
        <v>17</v>
      </c>
      <c r="E164" t="s">
        <v>13</v>
      </c>
      <c r="F164">
        <v>8</v>
      </c>
      <c r="G164">
        <v>600</v>
      </c>
      <c r="H164">
        <v>4800</v>
      </c>
    </row>
    <row r="165" spans="1:8" x14ac:dyDescent="0.3">
      <c r="A165">
        <v>1164</v>
      </c>
      <c r="B165" s="4">
        <v>46191</v>
      </c>
      <c r="C165" t="s">
        <v>16</v>
      </c>
      <c r="D165" t="s">
        <v>17</v>
      </c>
      <c r="E165" t="s">
        <v>15</v>
      </c>
      <c r="F165">
        <v>4</v>
      </c>
      <c r="G165">
        <v>1200</v>
      </c>
      <c r="H165">
        <v>4800</v>
      </c>
    </row>
    <row r="166" spans="1:8" x14ac:dyDescent="0.3">
      <c r="A166">
        <v>1165</v>
      </c>
      <c r="B166" s="4">
        <v>46183</v>
      </c>
      <c r="C166" t="s">
        <v>19</v>
      </c>
      <c r="D166" t="s">
        <v>12</v>
      </c>
      <c r="E166" t="s">
        <v>13</v>
      </c>
      <c r="F166">
        <v>2</v>
      </c>
      <c r="G166">
        <v>3200</v>
      </c>
      <c r="H166">
        <v>6400</v>
      </c>
    </row>
    <row r="167" spans="1:8" x14ac:dyDescent="0.3">
      <c r="A167">
        <v>1166</v>
      </c>
      <c r="B167" s="4">
        <v>46155</v>
      </c>
      <c r="C167" t="s">
        <v>8</v>
      </c>
      <c r="D167" t="s">
        <v>9</v>
      </c>
      <c r="E167" t="s">
        <v>10</v>
      </c>
      <c r="F167">
        <v>5</v>
      </c>
      <c r="G167">
        <v>18000</v>
      </c>
      <c r="H167">
        <v>90000</v>
      </c>
    </row>
    <row r="168" spans="1:8" x14ac:dyDescent="0.3">
      <c r="A168">
        <v>1167</v>
      </c>
      <c r="B168" s="4">
        <v>46055</v>
      </c>
      <c r="C168" t="s">
        <v>16</v>
      </c>
      <c r="D168" t="s">
        <v>17</v>
      </c>
      <c r="E168" t="s">
        <v>20</v>
      </c>
      <c r="F168">
        <v>6</v>
      </c>
      <c r="G168">
        <v>1200</v>
      </c>
      <c r="H168">
        <v>7200</v>
      </c>
    </row>
    <row r="169" spans="1:8" x14ac:dyDescent="0.3">
      <c r="A169">
        <v>1168</v>
      </c>
      <c r="B169" s="4">
        <v>46139</v>
      </c>
      <c r="C169" t="s">
        <v>24</v>
      </c>
      <c r="D169" t="s">
        <v>17</v>
      </c>
      <c r="E169" t="s">
        <v>20</v>
      </c>
      <c r="F169">
        <v>7</v>
      </c>
      <c r="G169">
        <v>600</v>
      </c>
      <c r="H169">
        <v>4200</v>
      </c>
    </row>
    <row r="170" spans="1:8" x14ac:dyDescent="0.3">
      <c r="A170">
        <v>1169</v>
      </c>
      <c r="B170" s="4">
        <v>46157</v>
      </c>
      <c r="C170" t="s">
        <v>19</v>
      </c>
      <c r="D170" t="s">
        <v>12</v>
      </c>
      <c r="E170" t="s">
        <v>10</v>
      </c>
      <c r="F170">
        <v>3</v>
      </c>
      <c r="G170">
        <v>3200</v>
      </c>
      <c r="H170">
        <v>9600</v>
      </c>
    </row>
    <row r="171" spans="1:8" x14ac:dyDescent="0.3">
      <c r="A171">
        <v>1170</v>
      </c>
      <c r="B171" s="4">
        <v>46199</v>
      </c>
      <c r="C171" t="s">
        <v>21</v>
      </c>
      <c r="D171" t="s">
        <v>22</v>
      </c>
      <c r="E171" t="s">
        <v>15</v>
      </c>
      <c r="F171">
        <v>6</v>
      </c>
      <c r="G171">
        <v>4500</v>
      </c>
      <c r="H171">
        <v>27000</v>
      </c>
    </row>
    <row r="172" spans="1:8" x14ac:dyDescent="0.3">
      <c r="A172">
        <v>1171</v>
      </c>
      <c r="B172" s="4">
        <v>46092</v>
      </c>
      <c r="C172" t="s">
        <v>8</v>
      </c>
      <c r="D172" t="s">
        <v>9</v>
      </c>
      <c r="E172" t="s">
        <v>15</v>
      </c>
      <c r="F172">
        <v>6</v>
      </c>
      <c r="G172">
        <v>18000</v>
      </c>
      <c r="H172">
        <v>108000</v>
      </c>
    </row>
    <row r="173" spans="1:8" x14ac:dyDescent="0.3">
      <c r="A173">
        <v>1172</v>
      </c>
      <c r="B173" s="4">
        <v>46048</v>
      </c>
      <c r="C173" t="s">
        <v>23</v>
      </c>
      <c r="D173" t="s">
        <v>9</v>
      </c>
      <c r="E173" t="s">
        <v>10</v>
      </c>
      <c r="F173">
        <v>5</v>
      </c>
      <c r="G173">
        <v>120</v>
      </c>
      <c r="H173">
        <v>600</v>
      </c>
    </row>
    <row r="174" spans="1:8" x14ac:dyDescent="0.3">
      <c r="A174">
        <v>1173</v>
      </c>
      <c r="B174" s="4">
        <v>46155</v>
      </c>
      <c r="C174" t="s">
        <v>14</v>
      </c>
      <c r="D174" t="s">
        <v>12</v>
      </c>
      <c r="E174" t="s">
        <v>20</v>
      </c>
      <c r="F174">
        <v>4</v>
      </c>
      <c r="G174">
        <v>2500</v>
      </c>
      <c r="H174">
        <v>10000</v>
      </c>
    </row>
    <row r="175" spans="1:8" x14ac:dyDescent="0.3">
      <c r="A175">
        <v>1174</v>
      </c>
      <c r="B175" s="4">
        <v>46178</v>
      </c>
      <c r="C175" t="s">
        <v>18</v>
      </c>
      <c r="D175" t="s">
        <v>12</v>
      </c>
      <c r="E175" t="s">
        <v>13</v>
      </c>
      <c r="F175">
        <v>4</v>
      </c>
      <c r="G175">
        <v>50000</v>
      </c>
      <c r="H175">
        <v>200000</v>
      </c>
    </row>
    <row r="176" spans="1:8" x14ac:dyDescent="0.3">
      <c r="A176">
        <v>1175</v>
      </c>
      <c r="B176" s="4">
        <v>46067</v>
      </c>
      <c r="C176" t="s">
        <v>23</v>
      </c>
      <c r="D176" t="s">
        <v>9</v>
      </c>
      <c r="E176" t="s">
        <v>10</v>
      </c>
      <c r="F176">
        <v>1</v>
      </c>
      <c r="G176">
        <v>120</v>
      </c>
      <c r="H176">
        <v>120</v>
      </c>
    </row>
    <row r="177" spans="1:8" x14ac:dyDescent="0.3">
      <c r="A177">
        <v>1176</v>
      </c>
      <c r="B177" s="4">
        <v>46078</v>
      </c>
      <c r="C177" t="s">
        <v>23</v>
      </c>
      <c r="D177" t="s">
        <v>9</v>
      </c>
      <c r="E177" t="s">
        <v>20</v>
      </c>
      <c r="F177">
        <v>4</v>
      </c>
      <c r="G177">
        <v>120</v>
      </c>
      <c r="H177">
        <v>480</v>
      </c>
    </row>
    <row r="178" spans="1:8" x14ac:dyDescent="0.3">
      <c r="A178">
        <v>1177</v>
      </c>
      <c r="B178" s="4">
        <v>46163</v>
      </c>
      <c r="C178" t="s">
        <v>19</v>
      </c>
      <c r="D178" t="s">
        <v>12</v>
      </c>
      <c r="E178" t="s">
        <v>13</v>
      </c>
      <c r="F178">
        <v>4</v>
      </c>
      <c r="G178">
        <v>3200</v>
      </c>
      <c r="H178">
        <v>12800</v>
      </c>
    </row>
    <row r="179" spans="1:8" x14ac:dyDescent="0.3">
      <c r="A179">
        <v>1178</v>
      </c>
      <c r="B179" s="4">
        <v>46176</v>
      </c>
      <c r="C179" t="s">
        <v>19</v>
      </c>
      <c r="D179" t="s">
        <v>12</v>
      </c>
      <c r="E179" t="s">
        <v>20</v>
      </c>
      <c r="F179">
        <v>2</v>
      </c>
      <c r="G179">
        <v>3200</v>
      </c>
      <c r="H179">
        <v>6400</v>
      </c>
    </row>
    <row r="180" spans="1:8" x14ac:dyDescent="0.3">
      <c r="A180">
        <v>1179</v>
      </c>
      <c r="B180" s="4">
        <v>46047</v>
      </c>
      <c r="C180" t="s">
        <v>21</v>
      </c>
      <c r="D180" t="s">
        <v>22</v>
      </c>
      <c r="E180" t="s">
        <v>13</v>
      </c>
      <c r="F180">
        <v>4</v>
      </c>
      <c r="G180">
        <v>4500</v>
      </c>
      <c r="H180">
        <v>18000</v>
      </c>
    </row>
    <row r="181" spans="1:8" x14ac:dyDescent="0.3">
      <c r="A181">
        <v>1180</v>
      </c>
      <c r="B181" s="4">
        <v>46179</v>
      </c>
      <c r="C181" t="s">
        <v>18</v>
      </c>
      <c r="D181" t="s">
        <v>12</v>
      </c>
      <c r="E181" t="s">
        <v>10</v>
      </c>
      <c r="F181">
        <v>8</v>
      </c>
      <c r="G181">
        <v>50000</v>
      </c>
      <c r="H181">
        <v>400000</v>
      </c>
    </row>
    <row r="182" spans="1:8" x14ac:dyDescent="0.3">
      <c r="A182">
        <v>1181</v>
      </c>
      <c r="B182" s="4">
        <v>46189</v>
      </c>
      <c r="C182" t="s">
        <v>18</v>
      </c>
      <c r="D182" t="s">
        <v>12</v>
      </c>
      <c r="E182" t="s">
        <v>13</v>
      </c>
      <c r="F182">
        <v>7</v>
      </c>
      <c r="G182">
        <v>50000</v>
      </c>
      <c r="H182">
        <v>350000</v>
      </c>
    </row>
    <row r="183" spans="1:8" x14ac:dyDescent="0.3">
      <c r="A183">
        <v>1182</v>
      </c>
      <c r="B183" s="4">
        <v>46039</v>
      </c>
      <c r="C183" t="s">
        <v>23</v>
      </c>
      <c r="D183" t="s">
        <v>9</v>
      </c>
      <c r="E183" t="s">
        <v>10</v>
      </c>
      <c r="F183">
        <v>7</v>
      </c>
      <c r="G183">
        <v>120</v>
      </c>
      <c r="H183">
        <v>840</v>
      </c>
    </row>
    <row r="184" spans="1:8" x14ac:dyDescent="0.3">
      <c r="A184">
        <v>1183</v>
      </c>
      <c r="B184" s="4">
        <v>46111</v>
      </c>
      <c r="C184" t="s">
        <v>16</v>
      </c>
      <c r="D184" t="s">
        <v>17</v>
      </c>
      <c r="E184" t="s">
        <v>13</v>
      </c>
      <c r="F184">
        <v>6</v>
      </c>
      <c r="G184">
        <v>1200</v>
      </c>
      <c r="H184">
        <v>7200</v>
      </c>
    </row>
    <row r="185" spans="1:8" x14ac:dyDescent="0.3">
      <c r="A185">
        <v>1184</v>
      </c>
      <c r="B185" s="4">
        <v>46085</v>
      </c>
      <c r="C185" t="s">
        <v>8</v>
      </c>
      <c r="D185" t="s">
        <v>9</v>
      </c>
      <c r="E185" t="s">
        <v>13</v>
      </c>
      <c r="F185">
        <v>2</v>
      </c>
      <c r="G185">
        <v>18000</v>
      </c>
      <c r="H185">
        <v>36000</v>
      </c>
    </row>
    <row r="186" spans="1:8" x14ac:dyDescent="0.3">
      <c r="A186">
        <v>1185</v>
      </c>
      <c r="B186" s="4">
        <v>46129</v>
      </c>
      <c r="C186" t="s">
        <v>19</v>
      </c>
      <c r="D186" t="s">
        <v>12</v>
      </c>
      <c r="E186" t="s">
        <v>10</v>
      </c>
      <c r="F186">
        <v>6</v>
      </c>
      <c r="G186">
        <v>3200</v>
      </c>
      <c r="H186">
        <v>19200</v>
      </c>
    </row>
    <row r="187" spans="1:8" x14ac:dyDescent="0.3">
      <c r="A187">
        <v>1186</v>
      </c>
      <c r="B187" s="4">
        <v>46062</v>
      </c>
      <c r="C187" t="s">
        <v>24</v>
      </c>
      <c r="D187" t="s">
        <v>17</v>
      </c>
      <c r="E187" t="s">
        <v>20</v>
      </c>
      <c r="F187">
        <v>7</v>
      </c>
      <c r="G187">
        <v>600</v>
      </c>
      <c r="H187">
        <v>4200</v>
      </c>
    </row>
    <row r="188" spans="1:8" x14ac:dyDescent="0.3">
      <c r="A188">
        <v>1187</v>
      </c>
      <c r="B188" s="4">
        <v>46088</v>
      </c>
      <c r="C188" t="s">
        <v>21</v>
      </c>
      <c r="D188" t="s">
        <v>22</v>
      </c>
      <c r="E188" t="s">
        <v>20</v>
      </c>
      <c r="F188">
        <v>6</v>
      </c>
      <c r="G188">
        <v>4500</v>
      </c>
      <c r="H188">
        <v>27000</v>
      </c>
    </row>
    <row r="189" spans="1:8" x14ac:dyDescent="0.3">
      <c r="A189">
        <v>1188</v>
      </c>
      <c r="B189" s="4">
        <v>46053</v>
      </c>
      <c r="C189" t="s">
        <v>16</v>
      </c>
      <c r="D189" t="s">
        <v>17</v>
      </c>
      <c r="E189" t="s">
        <v>20</v>
      </c>
      <c r="F189">
        <v>6</v>
      </c>
      <c r="G189">
        <v>1200</v>
      </c>
      <c r="H189">
        <v>7200</v>
      </c>
    </row>
    <row r="190" spans="1:8" x14ac:dyDescent="0.3">
      <c r="A190">
        <v>1189</v>
      </c>
      <c r="B190" s="4">
        <v>46109</v>
      </c>
      <c r="C190" t="s">
        <v>23</v>
      </c>
      <c r="D190" t="s">
        <v>9</v>
      </c>
      <c r="E190" t="s">
        <v>20</v>
      </c>
      <c r="F190">
        <v>3</v>
      </c>
      <c r="G190">
        <v>120</v>
      </c>
      <c r="H190">
        <v>360</v>
      </c>
    </row>
    <row r="191" spans="1:8" x14ac:dyDescent="0.3">
      <c r="A191">
        <v>1190</v>
      </c>
      <c r="B191" s="4">
        <v>46031</v>
      </c>
      <c r="C191" t="s">
        <v>21</v>
      </c>
      <c r="D191" t="s">
        <v>22</v>
      </c>
      <c r="E191" t="s">
        <v>15</v>
      </c>
      <c r="F191">
        <v>5</v>
      </c>
      <c r="G191">
        <v>4500</v>
      </c>
      <c r="H191">
        <v>22500</v>
      </c>
    </row>
    <row r="192" spans="1:8" x14ac:dyDescent="0.3">
      <c r="A192">
        <v>1191</v>
      </c>
      <c r="B192" s="4">
        <v>46202</v>
      </c>
      <c r="C192" t="s">
        <v>21</v>
      </c>
      <c r="D192" t="s">
        <v>22</v>
      </c>
      <c r="E192" t="s">
        <v>20</v>
      </c>
      <c r="F192">
        <v>7</v>
      </c>
      <c r="G192">
        <v>4500</v>
      </c>
      <c r="H192">
        <v>31500</v>
      </c>
    </row>
    <row r="193" spans="1:8" x14ac:dyDescent="0.3">
      <c r="A193">
        <v>1192</v>
      </c>
      <c r="B193" s="4">
        <v>46186</v>
      </c>
      <c r="C193" t="s">
        <v>19</v>
      </c>
      <c r="D193" t="s">
        <v>12</v>
      </c>
      <c r="E193" t="s">
        <v>20</v>
      </c>
      <c r="F193">
        <v>8</v>
      </c>
      <c r="G193">
        <v>3200</v>
      </c>
      <c r="H193">
        <v>25600</v>
      </c>
    </row>
    <row r="194" spans="1:8" x14ac:dyDescent="0.3">
      <c r="A194">
        <v>1193</v>
      </c>
      <c r="B194" s="4">
        <v>46195</v>
      </c>
      <c r="C194" t="s">
        <v>14</v>
      </c>
      <c r="D194" t="s">
        <v>12</v>
      </c>
      <c r="E194" t="s">
        <v>20</v>
      </c>
      <c r="F194">
        <v>2</v>
      </c>
      <c r="G194">
        <v>2500</v>
      </c>
      <c r="H194">
        <v>5000</v>
      </c>
    </row>
    <row r="195" spans="1:8" x14ac:dyDescent="0.3">
      <c r="A195">
        <v>1194</v>
      </c>
      <c r="B195" s="4">
        <v>46056</v>
      </c>
      <c r="C195" t="s">
        <v>16</v>
      </c>
      <c r="D195" t="s">
        <v>17</v>
      </c>
      <c r="E195" t="s">
        <v>20</v>
      </c>
      <c r="F195">
        <v>6</v>
      </c>
      <c r="G195">
        <v>1200</v>
      </c>
      <c r="H195">
        <v>7200</v>
      </c>
    </row>
    <row r="196" spans="1:8" x14ac:dyDescent="0.3">
      <c r="A196">
        <v>1195</v>
      </c>
      <c r="B196" s="4">
        <v>46036</v>
      </c>
      <c r="C196" t="s">
        <v>8</v>
      </c>
      <c r="D196" t="s">
        <v>9</v>
      </c>
      <c r="E196" t="s">
        <v>15</v>
      </c>
      <c r="F196">
        <v>2</v>
      </c>
      <c r="G196">
        <v>18000</v>
      </c>
      <c r="H196">
        <v>36000</v>
      </c>
    </row>
    <row r="197" spans="1:8" x14ac:dyDescent="0.3">
      <c r="A197">
        <v>1196</v>
      </c>
      <c r="B197" s="4">
        <v>46130</v>
      </c>
      <c r="C197" t="s">
        <v>16</v>
      </c>
      <c r="D197" t="s">
        <v>17</v>
      </c>
      <c r="E197" t="s">
        <v>10</v>
      </c>
      <c r="F197">
        <v>7</v>
      </c>
      <c r="G197">
        <v>1200</v>
      </c>
      <c r="H197">
        <v>8400</v>
      </c>
    </row>
    <row r="198" spans="1:8" x14ac:dyDescent="0.3">
      <c r="A198">
        <v>1197</v>
      </c>
      <c r="B198" s="4">
        <v>46058</v>
      </c>
      <c r="C198" t="s">
        <v>11</v>
      </c>
      <c r="D198" t="s">
        <v>12</v>
      </c>
      <c r="E198" t="s">
        <v>20</v>
      </c>
      <c r="F198">
        <v>6</v>
      </c>
      <c r="G198">
        <v>15000</v>
      </c>
      <c r="H198">
        <v>90000</v>
      </c>
    </row>
    <row r="199" spans="1:8" x14ac:dyDescent="0.3">
      <c r="A199">
        <v>1198</v>
      </c>
      <c r="B199" s="4">
        <v>46089</v>
      </c>
      <c r="C199" t="s">
        <v>18</v>
      </c>
      <c r="D199" t="s">
        <v>12</v>
      </c>
      <c r="E199" t="s">
        <v>10</v>
      </c>
      <c r="F199">
        <v>5</v>
      </c>
      <c r="G199">
        <v>50000</v>
      </c>
      <c r="H199">
        <v>250000</v>
      </c>
    </row>
    <row r="200" spans="1:8" x14ac:dyDescent="0.3">
      <c r="A200">
        <v>1199</v>
      </c>
      <c r="B200" s="4">
        <v>46168</v>
      </c>
      <c r="C200" t="s">
        <v>21</v>
      </c>
      <c r="D200" t="s">
        <v>22</v>
      </c>
      <c r="E200" t="s">
        <v>20</v>
      </c>
      <c r="F200">
        <v>4</v>
      </c>
      <c r="G200">
        <v>4500</v>
      </c>
      <c r="H200">
        <v>18000</v>
      </c>
    </row>
    <row r="201" spans="1:8" x14ac:dyDescent="0.3">
      <c r="A201">
        <v>1200</v>
      </c>
      <c r="B201" s="4">
        <v>46070</v>
      </c>
      <c r="C201" t="s">
        <v>14</v>
      </c>
      <c r="D201" t="s">
        <v>12</v>
      </c>
      <c r="E201" t="s">
        <v>20</v>
      </c>
      <c r="F201">
        <v>8</v>
      </c>
      <c r="G201">
        <v>2500</v>
      </c>
      <c r="H201">
        <v>20000</v>
      </c>
    </row>
    <row r="202" spans="1:8" x14ac:dyDescent="0.3">
      <c r="A202">
        <v>1201</v>
      </c>
      <c r="B202" s="4">
        <v>46146</v>
      </c>
      <c r="C202" t="s">
        <v>23</v>
      </c>
      <c r="D202" t="s">
        <v>9</v>
      </c>
      <c r="E202" t="s">
        <v>20</v>
      </c>
      <c r="F202">
        <v>4</v>
      </c>
      <c r="G202">
        <v>120</v>
      </c>
      <c r="H202">
        <v>480</v>
      </c>
    </row>
    <row r="203" spans="1:8" x14ac:dyDescent="0.3">
      <c r="A203">
        <v>1202</v>
      </c>
      <c r="B203" s="4">
        <v>46043</v>
      </c>
      <c r="C203" t="s">
        <v>14</v>
      </c>
      <c r="D203" t="s">
        <v>12</v>
      </c>
      <c r="E203" t="s">
        <v>15</v>
      </c>
      <c r="F203">
        <v>5</v>
      </c>
      <c r="G203">
        <v>2500</v>
      </c>
      <c r="H203">
        <v>12500</v>
      </c>
    </row>
    <row r="204" spans="1:8" x14ac:dyDescent="0.3">
      <c r="A204">
        <v>1203</v>
      </c>
      <c r="B204" s="4">
        <v>46082</v>
      </c>
      <c r="C204" t="s">
        <v>25</v>
      </c>
      <c r="D204" t="s">
        <v>22</v>
      </c>
      <c r="E204" t="s">
        <v>20</v>
      </c>
      <c r="F204">
        <v>1</v>
      </c>
      <c r="G204">
        <v>8000</v>
      </c>
      <c r="H204">
        <v>8000</v>
      </c>
    </row>
    <row r="205" spans="1:8" x14ac:dyDescent="0.3">
      <c r="A205">
        <v>1204</v>
      </c>
      <c r="B205" s="4">
        <v>46154</v>
      </c>
      <c r="C205" t="s">
        <v>8</v>
      </c>
      <c r="D205" t="s">
        <v>9</v>
      </c>
      <c r="E205" t="s">
        <v>10</v>
      </c>
      <c r="F205">
        <v>4</v>
      </c>
      <c r="G205">
        <v>18000</v>
      </c>
      <c r="H205">
        <v>72000</v>
      </c>
    </row>
    <row r="206" spans="1:8" x14ac:dyDescent="0.3">
      <c r="A206">
        <v>1205</v>
      </c>
      <c r="B206" s="4">
        <v>46085</v>
      </c>
      <c r="C206" t="s">
        <v>16</v>
      </c>
      <c r="D206" t="s">
        <v>17</v>
      </c>
      <c r="E206" t="s">
        <v>15</v>
      </c>
      <c r="F206">
        <v>3</v>
      </c>
      <c r="G206">
        <v>1200</v>
      </c>
      <c r="H206">
        <v>3600</v>
      </c>
    </row>
    <row r="207" spans="1:8" x14ac:dyDescent="0.3">
      <c r="A207">
        <v>1206</v>
      </c>
      <c r="B207" s="4">
        <v>46084</v>
      </c>
      <c r="C207" t="s">
        <v>16</v>
      </c>
      <c r="D207" t="s">
        <v>17</v>
      </c>
      <c r="E207" t="s">
        <v>20</v>
      </c>
      <c r="F207">
        <v>2</v>
      </c>
      <c r="G207">
        <v>1200</v>
      </c>
      <c r="H207">
        <v>2400</v>
      </c>
    </row>
    <row r="208" spans="1:8" x14ac:dyDescent="0.3">
      <c r="A208">
        <v>1207</v>
      </c>
      <c r="B208" s="4">
        <v>46060</v>
      </c>
      <c r="C208" t="s">
        <v>21</v>
      </c>
      <c r="D208" t="s">
        <v>22</v>
      </c>
      <c r="E208" t="s">
        <v>20</v>
      </c>
      <c r="F208">
        <v>7</v>
      </c>
      <c r="G208">
        <v>4500</v>
      </c>
      <c r="H208">
        <v>31500</v>
      </c>
    </row>
    <row r="209" spans="1:8" x14ac:dyDescent="0.3">
      <c r="A209">
        <v>1208</v>
      </c>
      <c r="B209" s="4">
        <v>46141</v>
      </c>
      <c r="C209" t="s">
        <v>19</v>
      </c>
      <c r="D209" t="s">
        <v>12</v>
      </c>
      <c r="E209" t="s">
        <v>10</v>
      </c>
      <c r="F209">
        <v>7</v>
      </c>
      <c r="G209">
        <v>3200</v>
      </c>
      <c r="H209">
        <v>22400</v>
      </c>
    </row>
    <row r="210" spans="1:8" x14ac:dyDescent="0.3">
      <c r="A210">
        <v>1209</v>
      </c>
      <c r="B210" s="4">
        <v>46116</v>
      </c>
      <c r="C210" t="s">
        <v>21</v>
      </c>
      <c r="D210" t="s">
        <v>22</v>
      </c>
      <c r="E210" t="s">
        <v>15</v>
      </c>
      <c r="F210">
        <v>3</v>
      </c>
      <c r="G210">
        <v>4500</v>
      </c>
      <c r="H210">
        <v>13500</v>
      </c>
    </row>
    <row r="211" spans="1:8" x14ac:dyDescent="0.3">
      <c r="A211">
        <v>1210</v>
      </c>
      <c r="B211" s="4">
        <v>46154</v>
      </c>
      <c r="C211" t="s">
        <v>23</v>
      </c>
      <c r="D211" t="s">
        <v>9</v>
      </c>
      <c r="E211" t="s">
        <v>13</v>
      </c>
      <c r="F211">
        <v>1</v>
      </c>
      <c r="G211">
        <v>120</v>
      </c>
      <c r="H211">
        <v>120</v>
      </c>
    </row>
    <row r="212" spans="1:8" x14ac:dyDescent="0.3">
      <c r="A212">
        <v>1211</v>
      </c>
      <c r="B212" s="4">
        <v>46030</v>
      </c>
      <c r="C212" t="s">
        <v>16</v>
      </c>
      <c r="D212" t="s">
        <v>17</v>
      </c>
      <c r="E212" t="s">
        <v>15</v>
      </c>
      <c r="F212">
        <v>2</v>
      </c>
      <c r="G212">
        <v>1200</v>
      </c>
      <c r="H212">
        <v>2400</v>
      </c>
    </row>
    <row r="213" spans="1:8" x14ac:dyDescent="0.3">
      <c r="A213">
        <v>1212</v>
      </c>
      <c r="B213" s="4">
        <v>46036</v>
      </c>
      <c r="C213" t="s">
        <v>16</v>
      </c>
      <c r="D213" t="s">
        <v>17</v>
      </c>
      <c r="E213" t="s">
        <v>10</v>
      </c>
      <c r="F213">
        <v>4</v>
      </c>
      <c r="G213">
        <v>1200</v>
      </c>
      <c r="H213">
        <v>4800</v>
      </c>
    </row>
    <row r="214" spans="1:8" x14ac:dyDescent="0.3">
      <c r="A214">
        <v>1213</v>
      </c>
      <c r="B214" s="4">
        <v>46125</v>
      </c>
      <c r="C214" t="s">
        <v>14</v>
      </c>
      <c r="D214" t="s">
        <v>12</v>
      </c>
      <c r="E214" t="s">
        <v>13</v>
      </c>
      <c r="F214">
        <v>4</v>
      </c>
      <c r="G214">
        <v>2500</v>
      </c>
      <c r="H214">
        <v>10000</v>
      </c>
    </row>
    <row r="215" spans="1:8" x14ac:dyDescent="0.3">
      <c r="A215">
        <v>1214</v>
      </c>
      <c r="B215" s="4">
        <v>46026</v>
      </c>
      <c r="C215" t="s">
        <v>19</v>
      </c>
      <c r="D215" t="s">
        <v>12</v>
      </c>
      <c r="E215" t="s">
        <v>15</v>
      </c>
      <c r="F215">
        <v>1</v>
      </c>
      <c r="G215">
        <v>3200</v>
      </c>
      <c r="H215">
        <v>3200</v>
      </c>
    </row>
    <row r="216" spans="1:8" x14ac:dyDescent="0.3">
      <c r="A216">
        <v>1215</v>
      </c>
      <c r="B216" s="4">
        <v>46167</v>
      </c>
      <c r="C216" t="s">
        <v>16</v>
      </c>
      <c r="D216" t="s">
        <v>17</v>
      </c>
      <c r="E216" t="s">
        <v>10</v>
      </c>
      <c r="F216">
        <v>2</v>
      </c>
      <c r="G216">
        <v>1200</v>
      </c>
      <c r="H216">
        <v>2400</v>
      </c>
    </row>
    <row r="217" spans="1:8" x14ac:dyDescent="0.3">
      <c r="A217">
        <v>1216</v>
      </c>
      <c r="B217" s="4">
        <v>46168</v>
      </c>
      <c r="C217" t="s">
        <v>18</v>
      </c>
      <c r="D217" t="s">
        <v>12</v>
      </c>
      <c r="E217" t="s">
        <v>10</v>
      </c>
      <c r="F217">
        <v>4</v>
      </c>
      <c r="G217">
        <v>50000</v>
      </c>
      <c r="H217">
        <v>200000</v>
      </c>
    </row>
    <row r="218" spans="1:8" x14ac:dyDescent="0.3">
      <c r="A218">
        <v>1217</v>
      </c>
      <c r="B218" s="4">
        <v>46086</v>
      </c>
      <c r="C218" t="s">
        <v>16</v>
      </c>
      <c r="D218" t="s">
        <v>17</v>
      </c>
      <c r="E218" t="s">
        <v>15</v>
      </c>
      <c r="F218">
        <v>8</v>
      </c>
      <c r="G218">
        <v>1200</v>
      </c>
      <c r="H218">
        <v>9600</v>
      </c>
    </row>
    <row r="219" spans="1:8" x14ac:dyDescent="0.3">
      <c r="A219">
        <v>1218</v>
      </c>
      <c r="B219" s="4">
        <v>46162</v>
      </c>
      <c r="C219" t="s">
        <v>14</v>
      </c>
      <c r="D219" t="s">
        <v>12</v>
      </c>
      <c r="E219" t="s">
        <v>15</v>
      </c>
      <c r="F219">
        <v>7</v>
      </c>
      <c r="G219">
        <v>2500</v>
      </c>
      <c r="H219">
        <v>17500</v>
      </c>
    </row>
    <row r="220" spans="1:8" x14ac:dyDescent="0.3">
      <c r="A220">
        <v>1219</v>
      </c>
      <c r="B220" s="4">
        <v>46199</v>
      </c>
      <c r="C220" t="s">
        <v>23</v>
      </c>
      <c r="D220" t="s">
        <v>9</v>
      </c>
      <c r="E220" t="s">
        <v>10</v>
      </c>
      <c r="F220">
        <v>2</v>
      </c>
      <c r="G220">
        <v>120</v>
      </c>
      <c r="H220">
        <v>240</v>
      </c>
    </row>
    <row r="221" spans="1:8" x14ac:dyDescent="0.3">
      <c r="A221">
        <v>1220</v>
      </c>
      <c r="B221" s="4">
        <v>46073</v>
      </c>
      <c r="C221" t="s">
        <v>23</v>
      </c>
      <c r="D221" t="s">
        <v>9</v>
      </c>
      <c r="E221" t="s">
        <v>20</v>
      </c>
      <c r="F221">
        <v>2</v>
      </c>
      <c r="G221">
        <v>120</v>
      </c>
      <c r="H221">
        <v>240</v>
      </c>
    </row>
    <row r="222" spans="1:8" x14ac:dyDescent="0.3">
      <c r="A222">
        <v>1221</v>
      </c>
      <c r="B222" s="4">
        <v>46162</v>
      </c>
      <c r="C222" t="s">
        <v>11</v>
      </c>
      <c r="D222" t="s">
        <v>12</v>
      </c>
      <c r="E222" t="s">
        <v>20</v>
      </c>
      <c r="F222">
        <v>3</v>
      </c>
      <c r="G222">
        <v>15000</v>
      </c>
      <c r="H222">
        <v>45000</v>
      </c>
    </row>
    <row r="223" spans="1:8" x14ac:dyDescent="0.3">
      <c r="A223">
        <v>1222</v>
      </c>
      <c r="B223" s="4">
        <v>46031</v>
      </c>
      <c r="C223" t="s">
        <v>18</v>
      </c>
      <c r="D223" t="s">
        <v>12</v>
      </c>
      <c r="E223" t="s">
        <v>13</v>
      </c>
      <c r="F223">
        <v>7</v>
      </c>
      <c r="G223">
        <v>50000</v>
      </c>
      <c r="H223">
        <v>350000</v>
      </c>
    </row>
    <row r="224" spans="1:8" x14ac:dyDescent="0.3">
      <c r="A224">
        <v>1223</v>
      </c>
      <c r="B224" s="4">
        <v>46126</v>
      </c>
      <c r="C224" t="s">
        <v>14</v>
      </c>
      <c r="D224" t="s">
        <v>12</v>
      </c>
      <c r="E224" t="s">
        <v>10</v>
      </c>
      <c r="F224">
        <v>1</v>
      </c>
      <c r="G224">
        <v>2500</v>
      </c>
      <c r="H224">
        <v>2500</v>
      </c>
    </row>
    <row r="225" spans="1:8" x14ac:dyDescent="0.3">
      <c r="A225">
        <v>1224</v>
      </c>
      <c r="B225" s="4">
        <v>46082</v>
      </c>
      <c r="C225" t="s">
        <v>18</v>
      </c>
      <c r="D225" t="s">
        <v>12</v>
      </c>
      <c r="E225" t="s">
        <v>20</v>
      </c>
      <c r="F225">
        <v>5</v>
      </c>
      <c r="G225">
        <v>50000</v>
      </c>
      <c r="H225">
        <v>250000</v>
      </c>
    </row>
    <row r="226" spans="1:8" x14ac:dyDescent="0.3">
      <c r="A226">
        <v>1225</v>
      </c>
      <c r="B226" s="4">
        <v>46052</v>
      </c>
      <c r="C226" t="s">
        <v>8</v>
      </c>
      <c r="D226" t="s">
        <v>9</v>
      </c>
      <c r="E226" t="s">
        <v>13</v>
      </c>
      <c r="F226">
        <v>1</v>
      </c>
      <c r="G226">
        <v>18000</v>
      </c>
      <c r="H226">
        <v>18000</v>
      </c>
    </row>
    <row r="227" spans="1:8" x14ac:dyDescent="0.3">
      <c r="A227">
        <v>1226</v>
      </c>
      <c r="B227" s="4">
        <v>46110</v>
      </c>
      <c r="C227" t="s">
        <v>14</v>
      </c>
      <c r="D227" t="s">
        <v>12</v>
      </c>
      <c r="E227" t="s">
        <v>10</v>
      </c>
      <c r="F227">
        <v>7</v>
      </c>
      <c r="G227">
        <v>2500</v>
      </c>
      <c r="H227">
        <v>17500</v>
      </c>
    </row>
    <row r="228" spans="1:8" x14ac:dyDescent="0.3">
      <c r="A228">
        <v>1227</v>
      </c>
      <c r="B228" s="4">
        <v>46080</v>
      </c>
      <c r="C228" t="s">
        <v>25</v>
      </c>
      <c r="D228" t="s">
        <v>22</v>
      </c>
      <c r="E228" t="s">
        <v>20</v>
      </c>
      <c r="F228">
        <v>4</v>
      </c>
      <c r="G228">
        <v>8000</v>
      </c>
      <c r="H228">
        <v>32000</v>
      </c>
    </row>
    <row r="229" spans="1:8" x14ac:dyDescent="0.3">
      <c r="A229">
        <v>1228</v>
      </c>
      <c r="B229" s="4">
        <v>46050</v>
      </c>
      <c r="C229" t="s">
        <v>19</v>
      </c>
      <c r="D229" t="s">
        <v>12</v>
      </c>
      <c r="E229" t="s">
        <v>15</v>
      </c>
      <c r="F229">
        <v>1</v>
      </c>
      <c r="G229">
        <v>3200</v>
      </c>
      <c r="H229">
        <v>3200</v>
      </c>
    </row>
    <row r="230" spans="1:8" x14ac:dyDescent="0.3">
      <c r="A230">
        <v>1229</v>
      </c>
      <c r="B230" s="4">
        <v>46055</v>
      </c>
      <c r="C230" t="s">
        <v>11</v>
      </c>
      <c r="D230" t="s">
        <v>12</v>
      </c>
      <c r="E230" t="s">
        <v>15</v>
      </c>
      <c r="F230">
        <v>5</v>
      </c>
      <c r="G230">
        <v>15000</v>
      </c>
      <c r="H230">
        <v>75000</v>
      </c>
    </row>
    <row r="231" spans="1:8" x14ac:dyDescent="0.3">
      <c r="A231">
        <v>1230</v>
      </c>
      <c r="B231" s="4">
        <v>46036</v>
      </c>
      <c r="C231" t="s">
        <v>23</v>
      </c>
      <c r="D231" t="s">
        <v>9</v>
      </c>
      <c r="E231" t="s">
        <v>20</v>
      </c>
      <c r="F231">
        <v>7</v>
      </c>
      <c r="G231">
        <v>120</v>
      </c>
      <c r="H231">
        <v>840</v>
      </c>
    </row>
    <row r="232" spans="1:8" x14ac:dyDescent="0.3">
      <c r="A232">
        <v>1231</v>
      </c>
      <c r="B232" s="4">
        <v>46148</v>
      </c>
      <c r="C232" t="s">
        <v>21</v>
      </c>
      <c r="D232" t="s">
        <v>22</v>
      </c>
      <c r="E232" t="s">
        <v>20</v>
      </c>
      <c r="F232">
        <v>8</v>
      </c>
      <c r="G232">
        <v>4500</v>
      </c>
      <c r="H232">
        <v>36000</v>
      </c>
    </row>
    <row r="233" spans="1:8" x14ac:dyDescent="0.3">
      <c r="A233">
        <v>1232</v>
      </c>
      <c r="B233" s="4">
        <v>46189</v>
      </c>
      <c r="C233" t="s">
        <v>16</v>
      </c>
      <c r="D233" t="s">
        <v>17</v>
      </c>
      <c r="E233" t="s">
        <v>10</v>
      </c>
      <c r="F233">
        <v>6</v>
      </c>
      <c r="G233">
        <v>1200</v>
      </c>
      <c r="H233">
        <v>7200</v>
      </c>
    </row>
    <row r="234" spans="1:8" x14ac:dyDescent="0.3">
      <c r="A234">
        <v>1233</v>
      </c>
      <c r="B234" s="4">
        <v>46042</v>
      </c>
      <c r="C234" t="s">
        <v>16</v>
      </c>
      <c r="D234" t="s">
        <v>17</v>
      </c>
      <c r="E234" t="s">
        <v>15</v>
      </c>
      <c r="F234">
        <v>1</v>
      </c>
      <c r="G234">
        <v>1200</v>
      </c>
      <c r="H234">
        <v>1200</v>
      </c>
    </row>
    <row r="235" spans="1:8" x14ac:dyDescent="0.3">
      <c r="A235">
        <v>1234</v>
      </c>
      <c r="B235" s="4">
        <v>46038</v>
      </c>
      <c r="C235" t="s">
        <v>24</v>
      </c>
      <c r="D235" t="s">
        <v>17</v>
      </c>
      <c r="E235" t="s">
        <v>10</v>
      </c>
      <c r="F235">
        <v>4</v>
      </c>
      <c r="G235">
        <v>600</v>
      </c>
      <c r="H235">
        <v>2400</v>
      </c>
    </row>
    <row r="236" spans="1:8" x14ac:dyDescent="0.3">
      <c r="A236">
        <v>1235</v>
      </c>
      <c r="B236" s="4">
        <v>46085</v>
      </c>
      <c r="C236" t="s">
        <v>25</v>
      </c>
      <c r="D236" t="s">
        <v>22</v>
      </c>
      <c r="E236" t="s">
        <v>13</v>
      </c>
      <c r="F236">
        <v>7</v>
      </c>
      <c r="G236">
        <v>8000</v>
      </c>
      <c r="H236">
        <v>56000</v>
      </c>
    </row>
    <row r="237" spans="1:8" x14ac:dyDescent="0.3">
      <c r="A237">
        <v>1236</v>
      </c>
      <c r="B237" s="4">
        <v>46089</v>
      </c>
      <c r="C237" t="s">
        <v>18</v>
      </c>
      <c r="D237" t="s">
        <v>12</v>
      </c>
      <c r="E237" t="s">
        <v>10</v>
      </c>
      <c r="F237">
        <v>7</v>
      </c>
      <c r="G237">
        <v>50000</v>
      </c>
      <c r="H237">
        <v>350000</v>
      </c>
    </row>
    <row r="238" spans="1:8" x14ac:dyDescent="0.3">
      <c r="A238">
        <v>1237</v>
      </c>
      <c r="B238" s="4">
        <v>46145</v>
      </c>
      <c r="C238" t="s">
        <v>24</v>
      </c>
      <c r="D238" t="s">
        <v>17</v>
      </c>
      <c r="E238" t="s">
        <v>13</v>
      </c>
      <c r="F238">
        <v>2</v>
      </c>
      <c r="G238">
        <v>600</v>
      </c>
      <c r="H238">
        <v>1200</v>
      </c>
    </row>
    <row r="239" spans="1:8" x14ac:dyDescent="0.3">
      <c r="A239">
        <v>1238</v>
      </c>
      <c r="B239" s="4">
        <v>46134</v>
      </c>
      <c r="C239" t="s">
        <v>8</v>
      </c>
      <c r="D239" t="s">
        <v>9</v>
      </c>
      <c r="E239" t="s">
        <v>15</v>
      </c>
      <c r="F239">
        <v>8</v>
      </c>
      <c r="G239">
        <v>18000</v>
      </c>
      <c r="H239">
        <v>144000</v>
      </c>
    </row>
    <row r="240" spans="1:8" x14ac:dyDescent="0.3">
      <c r="A240">
        <v>1239</v>
      </c>
      <c r="B240" s="4">
        <v>46145</v>
      </c>
      <c r="C240" t="s">
        <v>14</v>
      </c>
      <c r="D240" t="s">
        <v>12</v>
      </c>
      <c r="E240" t="s">
        <v>20</v>
      </c>
      <c r="F240">
        <v>3</v>
      </c>
      <c r="G240">
        <v>2500</v>
      </c>
      <c r="H240">
        <v>7500</v>
      </c>
    </row>
    <row r="241" spans="1:8" x14ac:dyDescent="0.3">
      <c r="A241">
        <v>1240</v>
      </c>
      <c r="B241" s="4">
        <v>46116</v>
      </c>
      <c r="C241" t="s">
        <v>25</v>
      </c>
      <c r="D241" t="s">
        <v>22</v>
      </c>
      <c r="E241" t="s">
        <v>13</v>
      </c>
      <c r="F241">
        <v>3</v>
      </c>
      <c r="G241">
        <v>8000</v>
      </c>
      <c r="H241">
        <v>24000</v>
      </c>
    </row>
    <row r="242" spans="1:8" x14ac:dyDescent="0.3">
      <c r="A242">
        <v>1241</v>
      </c>
      <c r="B242" s="4">
        <v>46104</v>
      </c>
      <c r="C242" t="s">
        <v>23</v>
      </c>
      <c r="D242" t="s">
        <v>9</v>
      </c>
      <c r="E242" t="s">
        <v>10</v>
      </c>
      <c r="F242">
        <v>3</v>
      </c>
      <c r="G242">
        <v>120</v>
      </c>
      <c r="H242">
        <v>360</v>
      </c>
    </row>
    <row r="243" spans="1:8" x14ac:dyDescent="0.3">
      <c r="A243">
        <v>1242</v>
      </c>
      <c r="B243" s="4">
        <v>46188</v>
      </c>
      <c r="C243" t="s">
        <v>21</v>
      </c>
      <c r="D243" t="s">
        <v>22</v>
      </c>
      <c r="E243" t="s">
        <v>15</v>
      </c>
      <c r="F243">
        <v>4</v>
      </c>
      <c r="G243">
        <v>4500</v>
      </c>
      <c r="H243">
        <v>18000</v>
      </c>
    </row>
    <row r="244" spans="1:8" x14ac:dyDescent="0.3">
      <c r="A244">
        <v>1243</v>
      </c>
      <c r="B244" s="4">
        <v>46100</v>
      </c>
      <c r="C244" t="s">
        <v>23</v>
      </c>
      <c r="D244" t="s">
        <v>9</v>
      </c>
      <c r="E244" t="s">
        <v>20</v>
      </c>
      <c r="F244">
        <v>6</v>
      </c>
      <c r="G244">
        <v>120</v>
      </c>
      <c r="H244">
        <v>720</v>
      </c>
    </row>
    <row r="245" spans="1:8" x14ac:dyDescent="0.3">
      <c r="A245">
        <v>1244</v>
      </c>
      <c r="B245" s="4">
        <v>46190</v>
      </c>
      <c r="C245" t="s">
        <v>23</v>
      </c>
      <c r="D245" t="s">
        <v>9</v>
      </c>
      <c r="E245" t="s">
        <v>10</v>
      </c>
      <c r="F245">
        <v>8</v>
      </c>
      <c r="G245">
        <v>120</v>
      </c>
      <c r="H245">
        <v>960</v>
      </c>
    </row>
    <row r="246" spans="1:8" x14ac:dyDescent="0.3">
      <c r="A246">
        <v>1245</v>
      </c>
      <c r="B246" s="4">
        <v>46070</v>
      </c>
      <c r="C246" t="s">
        <v>8</v>
      </c>
      <c r="D246" t="s">
        <v>9</v>
      </c>
      <c r="E246" t="s">
        <v>15</v>
      </c>
      <c r="F246">
        <v>2</v>
      </c>
      <c r="G246">
        <v>18000</v>
      </c>
      <c r="H246">
        <v>36000</v>
      </c>
    </row>
    <row r="247" spans="1:8" x14ac:dyDescent="0.3">
      <c r="A247">
        <v>1246</v>
      </c>
      <c r="B247" s="4">
        <v>46066</v>
      </c>
      <c r="C247" t="s">
        <v>11</v>
      </c>
      <c r="D247" t="s">
        <v>12</v>
      </c>
      <c r="E247" t="s">
        <v>13</v>
      </c>
      <c r="F247">
        <v>1</v>
      </c>
      <c r="G247">
        <v>15000</v>
      </c>
      <c r="H247">
        <v>15000</v>
      </c>
    </row>
    <row r="248" spans="1:8" x14ac:dyDescent="0.3">
      <c r="A248">
        <v>1247</v>
      </c>
      <c r="B248" s="4">
        <v>46077</v>
      </c>
      <c r="C248" t="s">
        <v>16</v>
      </c>
      <c r="D248" t="s">
        <v>17</v>
      </c>
      <c r="E248" t="s">
        <v>13</v>
      </c>
      <c r="F248">
        <v>2</v>
      </c>
      <c r="G248">
        <v>1200</v>
      </c>
      <c r="H248">
        <v>2400</v>
      </c>
    </row>
    <row r="249" spans="1:8" x14ac:dyDescent="0.3">
      <c r="A249">
        <v>1248</v>
      </c>
      <c r="B249" s="4">
        <v>46119</v>
      </c>
      <c r="C249" t="s">
        <v>19</v>
      </c>
      <c r="D249" t="s">
        <v>12</v>
      </c>
      <c r="E249" t="s">
        <v>10</v>
      </c>
      <c r="F249">
        <v>7</v>
      </c>
      <c r="G249">
        <v>3200</v>
      </c>
      <c r="H249">
        <v>22400</v>
      </c>
    </row>
    <row r="250" spans="1:8" x14ac:dyDescent="0.3">
      <c r="A250">
        <v>1249</v>
      </c>
      <c r="B250" s="4">
        <v>46024</v>
      </c>
      <c r="C250" t="s">
        <v>8</v>
      </c>
      <c r="D250" t="s">
        <v>9</v>
      </c>
      <c r="E250" t="s">
        <v>20</v>
      </c>
      <c r="F250">
        <v>7</v>
      </c>
      <c r="G250">
        <v>18000</v>
      </c>
      <c r="H250">
        <v>126000</v>
      </c>
    </row>
    <row r="251" spans="1:8" x14ac:dyDescent="0.3">
      <c r="A251">
        <v>1250</v>
      </c>
      <c r="B251" s="4">
        <v>46114</v>
      </c>
      <c r="C251" t="s">
        <v>21</v>
      </c>
      <c r="D251" t="s">
        <v>22</v>
      </c>
      <c r="E251" t="s">
        <v>10</v>
      </c>
      <c r="F251">
        <v>7</v>
      </c>
      <c r="G251">
        <v>4500</v>
      </c>
      <c r="H251">
        <v>31500</v>
      </c>
    </row>
    <row r="252" spans="1:8" x14ac:dyDescent="0.3">
      <c r="A252">
        <v>1251</v>
      </c>
      <c r="B252" s="4">
        <v>46039</v>
      </c>
      <c r="C252" t="s">
        <v>8</v>
      </c>
      <c r="D252" t="s">
        <v>9</v>
      </c>
      <c r="E252" t="s">
        <v>13</v>
      </c>
      <c r="F252">
        <v>4</v>
      </c>
      <c r="G252">
        <v>18000</v>
      </c>
      <c r="H252">
        <v>72000</v>
      </c>
    </row>
    <row r="253" spans="1:8" x14ac:dyDescent="0.3">
      <c r="A253">
        <v>1252</v>
      </c>
      <c r="B253" s="4">
        <v>46128</v>
      </c>
      <c r="C253" t="s">
        <v>23</v>
      </c>
      <c r="D253" t="s">
        <v>9</v>
      </c>
      <c r="E253" t="s">
        <v>10</v>
      </c>
      <c r="F253">
        <v>3</v>
      </c>
      <c r="G253">
        <v>120</v>
      </c>
      <c r="H253">
        <v>360</v>
      </c>
    </row>
    <row r="254" spans="1:8" x14ac:dyDescent="0.3">
      <c r="A254">
        <v>1253</v>
      </c>
      <c r="B254" s="4">
        <v>46083</v>
      </c>
      <c r="C254" t="s">
        <v>21</v>
      </c>
      <c r="D254" t="s">
        <v>22</v>
      </c>
      <c r="E254" t="s">
        <v>10</v>
      </c>
      <c r="F254">
        <v>3</v>
      </c>
      <c r="G254">
        <v>4500</v>
      </c>
      <c r="H254">
        <v>13500</v>
      </c>
    </row>
    <row r="255" spans="1:8" x14ac:dyDescent="0.3">
      <c r="A255">
        <v>1254</v>
      </c>
      <c r="B255" s="4">
        <v>46052</v>
      </c>
      <c r="C255" t="s">
        <v>16</v>
      </c>
      <c r="D255" t="s">
        <v>17</v>
      </c>
      <c r="E255" t="s">
        <v>20</v>
      </c>
      <c r="F255">
        <v>7</v>
      </c>
      <c r="G255">
        <v>1200</v>
      </c>
      <c r="H255">
        <v>8400</v>
      </c>
    </row>
    <row r="256" spans="1:8" x14ac:dyDescent="0.3">
      <c r="A256">
        <v>1255</v>
      </c>
      <c r="B256" s="4">
        <v>46173</v>
      </c>
      <c r="C256" t="s">
        <v>25</v>
      </c>
      <c r="D256" t="s">
        <v>22</v>
      </c>
      <c r="E256" t="s">
        <v>15</v>
      </c>
      <c r="F256">
        <v>7</v>
      </c>
      <c r="G256">
        <v>8000</v>
      </c>
      <c r="H256">
        <v>56000</v>
      </c>
    </row>
    <row r="257" spans="1:8" x14ac:dyDescent="0.3">
      <c r="A257">
        <v>1256</v>
      </c>
      <c r="B257" s="4">
        <v>46092</v>
      </c>
      <c r="C257" t="s">
        <v>25</v>
      </c>
      <c r="D257" t="s">
        <v>22</v>
      </c>
      <c r="E257" t="s">
        <v>13</v>
      </c>
      <c r="F257">
        <v>7</v>
      </c>
      <c r="G257">
        <v>8000</v>
      </c>
      <c r="H257">
        <v>56000</v>
      </c>
    </row>
    <row r="258" spans="1:8" x14ac:dyDescent="0.3">
      <c r="A258">
        <v>1257</v>
      </c>
      <c r="B258" s="4">
        <v>46055</v>
      </c>
      <c r="C258" t="s">
        <v>11</v>
      </c>
      <c r="D258" t="s">
        <v>12</v>
      </c>
      <c r="E258" t="s">
        <v>15</v>
      </c>
      <c r="F258">
        <v>3</v>
      </c>
      <c r="G258">
        <v>15000</v>
      </c>
      <c r="H258">
        <v>45000</v>
      </c>
    </row>
    <row r="259" spans="1:8" x14ac:dyDescent="0.3">
      <c r="A259">
        <v>1258</v>
      </c>
      <c r="B259" s="4">
        <v>46195</v>
      </c>
      <c r="C259" t="s">
        <v>24</v>
      </c>
      <c r="D259" t="s">
        <v>17</v>
      </c>
      <c r="E259" t="s">
        <v>10</v>
      </c>
      <c r="F259">
        <v>1</v>
      </c>
      <c r="G259">
        <v>600</v>
      </c>
      <c r="H259">
        <v>600</v>
      </c>
    </row>
    <row r="260" spans="1:8" x14ac:dyDescent="0.3">
      <c r="A260">
        <v>1259</v>
      </c>
      <c r="B260" s="4">
        <v>46105</v>
      </c>
      <c r="C260" t="s">
        <v>8</v>
      </c>
      <c r="D260" t="s">
        <v>9</v>
      </c>
      <c r="E260" t="s">
        <v>10</v>
      </c>
      <c r="F260">
        <v>3</v>
      </c>
      <c r="G260">
        <v>18000</v>
      </c>
      <c r="H260">
        <v>54000</v>
      </c>
    </row>
    <row r="261" spans="1:8" x14ac:dyDescent="0.3">
      <c r="A261">
        <v>1260</v>
      </c>
      <c r="B261" s="4">
        <v>46049</v>
      </c>
      <c r="C261" t="s">
        <v>25</v>
      </c>
      <c r="D261" t="s">
        <v>22</v>
      </c>
      <c r="E261" t="s">
        <v>20</v>
      </c>
      <c r="F261">
        <v>1</v>
      </c>
      <c r="G261">
        <v>8000</v>
      </c>
      <c r="H261">
        <v>8000</v>
      </c>
    </row>
    <row r="262" spans="1:8" x14ac:dyDescent="0.3">
      <c r="A262">
        <v>1261</v>
      </c>
      <c r="B262" s="4">
        <v>46108</v>
      </c>
      <c r="C262" t="s">
        <v>23</v>
      </c>
      <c r="D262" t="s">
        <v>9</v>
      </c>
      <c r="E262" t="s">
        <v>13</v>
      </c>
      <c r="F262">
        <v>8</v>
      </c>
      <c r="G262">
        <v>120</v>
      </c>
      <c r="H262">
        <v>960</v>
      </c>
    </row>
    <row r="263" spans="1:8" x14ac:dyDescent="0.3">
      <c r="A263">
        <v>1262</v>
      </c>
      <c r="B263" s="4">
        <v>46193</v>
      </c>
      <c r="C263" t="s">
        <v>24</v>
      </c>
      <c r="D263" t="s">
        <v>17</v>
      </c>
      <c r="E263" t="s">
        <v>13</v>
      </c>
      <c r="F263">
        <v>8</v>
      </c>
      <c r="G263">
        <v>600</v>
      </c>
      <c r="H263">
        <v>4800</v>
      </c>
    </row>
    <row r="264" spans="1:8" x14ac:dyDescent="0.3">
      <c r="A264">
        <v>1263</v>
      </c>
      <c r="B264" s="4">
        <v>46192</v>
      </c>
      <c r="C264" t="s">
        <v>16</v>
      </c>
      <c r="D264" t="s">
        <v>17</v>
      </c>
      <c r="E264" t="s">
        <v>13</v>
      </c>
      <c r="F264">
        <v>1</v>
      </c>
      <c r="G264">
        <v>1200</v>
      </c>
      <c r="H264">
        <v>1200</v>
      </c>
    </row>
    <row r="265" spans="1:8" x14ac:dyDescent="0.3">
      <c r="A265">
        <v>1264</v>
      </c>
      <c r="B265" s="4">
        <v>46160</v>
      </c>
      <c r="C265" t="s">
        <v>11</v>
      </c>
      <c r="D265" t="s">
        <v>12</v>
      </c>
      <c r="E265" t="s">
        <v>15</v>
      </c>
      <c r="F265">
        <v>3</v>
      </c>
      <c r="G265">
        <v>15000</v>
      </c>
      <c r="H265">
        <v>45000</v>
      </c>
    </row>
    <row r="266" spans="1:8" x14ac:dyDescent="0.3">
      <c r="A266">
        <v>1265</v>
      </c>
      <c r="B266" s="4">
        <v>46159</v>
      </c>
      <c r="C266" t="s">
        <v>19</v>
      </c>
      <c r="D266" t="s">
        <v>12</v>
      </c>
      <c r="E266" t="s">
        <v>15</v>
      </c>
      <c r="F266">
        <v>1</v>
      </c>
      <c r="G266">
        <v>3200</v>
      </c>
      <c r="H266">
        <v>3200</v>
      </c>
    </row>
    <row r="267" spans="1:8" x14ac:dyDescent="0.3">
      <c r="A267">
        <v>1266</v>
      </c>
      <c r="B267" s="4">
        <v>46054</v>
      </c>
      <c r="C267" t="s">
        <v>24</v>
      </c>
      <c r="D267" t="s">
        <v>17</v>
      </c>
      <c r="E267" t="s">
        <v>15</v>
      </c>
      <c r="F267">
        <v>3</v>
      </c>
      <c r="G267">
        <v>600</v>
      </c>
      <c r="H267">
        <v>1800</v>
      </c>
    </row>
    <row r="268" spans="1:8" x14ac:dyDescent="0.3">
      <c r="A268">
        <v>1267</v>
      </c>
      <c r="B268" s="4">
        <v>46080</v>
      </c>
      <c r="C268" t="s">
        <v>21</v>
      </c>
      <c r="D268" t="s">
        <v>22</v>
      </c>
      <c r="E268" t="s">
        <v>13</v>
      </c>
      <c r="F268">
        <v>1</v>
      </c>
      <c r="G268">
        <v>4500</v>
      </c>
      <c r="H268">
        <v>4500</v>
      </c>
    </row>
    <row r="269" spans="1:8" x14ac:dyDescent="0.3">
      <c r="A269">
        <v>1268</v>
      </c>
      <c r="B269" s="4">
        <v>46115</v>
      </c>
      <c r="C269" t="s">
        <v>14</v>
      </c>
      <c r="D269" t="s">
        <v>12</v>
      </c>
      <c r="E269" t="s">
        <v>10</v>
      </c>
      <c r="F269">
        <v>5</v>
      </c>
      <c r="G269">
        <v>2500</v>
      </c>
      <c r="H269">
        <v>12500</v>
      </c>
    </row>
    <row r="270" spans="1:8" x14ac:dyDescent="0.3">
      <c r="A270">
        <v>1269</v>
      </c>
      <c r="B270" s="4">
        <v>46119</v>
      </c>
      <c r="C270" t="s">
        <v>25</v>
      </c>
      <c r="D270" t="s">
        <v>22</v>
      </c>
      <c r="E270" t="s">
        <v>13</v>
      </c>
      <c r="F270">
        <v>7</v>
      </c>
      <c r="G270">
        <v>8000</v>
      </c>
      <c r="H270">
        <v>56000</v>
      </c>
    </row>
    <row r="271" spans="1:8" x14ac:dyDescent="0.3">
      <c r="A271">
        <v>1270</v>
      </c>
      <c r="B271" s="4">
        <v>46079</v>
      </c>
      <c r="C271" t="s">
        <v>21</v>
      </c>
      <c r="D271" t="s">
        <v>22</v>
      </c>
      <c r="E271" t="s">
        <v>15</v>
      </c>
      <c r="F271">
        <v>1</v>
      </c>
      <c r="G271">
        <v>4500</v>
      </c>
      <c r="H271">
        <v>4500</v>
      </c>
    </row>
    <row r="272" spans="1:8" x14ac:dyDescent="0.3">
      <c r="A272">
        <v>1271</v>
      </c>
      <c r="B272" s="4">
        <v>46120</v>
      </c>
      <c r="C272" t="s">
        <v>8</v>
      </c>
      <c r="D272" t="s">
        <v>9</v>
      </c>
      <c r="E272" t="s">
        <v>10</v>
      </c>
      <c r="F272">
        <v>3</v>
      </c>
      <c r="G272">
        <v>18000</v>
      </c>
      <c r="H272">
        <v>54000</v>
      </c>
    </row>
    <row r="273" spans="1:8" x14ac:dyDescent="0.3">
      <c r="A273">
        <v>1272</v>
      </c>
      <c r="B273" s="4">
        <v>46188</v>
      </c>
      <c r="C273" t="s">
        <v>14</v>
      </c>
      <c r="D273" t="s">
        <v>12</v>
      </c>
      <c r="E273" t="s">
        <v>10</v>
      </c>
      <c r="F273">
        <v>6</v>
      </c>
      <c r="G273">
        <v>2500</v>
      </c>
      <c r="H273">
        <v>15000</v>
      </c>
    </row>
    <row r="274" spans="1:8" x14ac:dyDescent="0.3">
      <c r="A274">
        <v>1273</v>
      </c>
      <c r="B274" s="4">
        <v>46026</v>
      </c>
      <c r="C274" t="s">
        <v>21</v>
      </c>
      <c r="D274" t="s">
        <v>22</v>
      </c>
      <c r="E274" t="s">
        <v>15</v>
      </c>
      <c r="F274">
        <v>5</v>
      </c>
      <c r="G274">
        <v>4500</v>
      </c>
      <c r="H274">
        <v>22500</v>
      </c>
    </row>
    <row r="275" spans="1:8" x14ac:dyDescent="0.3">
      <c r="A275">
        <v>1274</v>
      </c>
      <c r="B275" s="4">
        <v>46103</v>
      </c>
      <c r="C275" t="s">
        <v>18</v>
      </c>
      <c r="D275" t="s">
        <v>12</v>
      </c>
      <c r="E275" t="s">
        <v>13</v>
      </c>
      <c r="F275">
        <v>1</v>
      </c>
      <c r="G275">
        <v>50000</v>
      </c>
      <c r="H275">
        <v>50000</v>
      </c>
    </row>
    <row r="276" spans="1:8" x14ac:dyDescent="0.3">
      <c r="A276">
        <v>1275</v>
      </c>
      <c r="B276" s="4">
        <v>46199</v>
      </c>
      <c r="C276" t="s">
        <v>16</v>
      </c>
      <c r="D276" t="s">
        <v>17</v>
      </c>
      <c r="E276" t="s">
        <v>10</v>
      </c>
      <c r="F276">
        <v>3</v>
      </c>
      <c r="G276">
        <v>1200</v>
      </c>
      <c r="H276">
        <v>3600</v>
      </c>
    </row>
    <row r="277" spans="1:8" x14ac:dyDescent="0.3">
      <c r="A277">
        <v>1276</v>
      </c>
      <c r="B277" s="4">
        <v>46114</v>
      </c>
      <c r="C277" t="s">
        <v>14</v>
      </c>
      <c r="D277" t="s">
        <v>12</v>
      </c>
      <c r="E277" t="s">
        <v>15</v>
      </c>
      <c r="F277">
        <v>8</v>
      </c>
      <c r="G277">
        <v>2500</v>
      </c>
      <c r="H277">
        <v>20000</v>
      </c>
    </row>
    <row r="278" spans="1:8" x14ac:dyDescent="0.3">
      <c r="A278">
        <v>1277</v>
      </c>
      <c r="B278" s="4">
        <v>46077</v>
      </c>
      <c r="C278" t="s">
        <v>8</v>
      </c>
      <c r="D278" t="s">
        <v>9</v>
      </c>
      <c r="E278" t="s">
        <v>20</v>
      </c>
      <c r="F278">
        <v>1</v>
      </c>
      <c r="G278">
        <v>18000</v>
      </c>
      <c r="H278">
        <v>18000</v>
      </c>
    </row>
    <row r="279" spans="1:8" x14ac:dyDescent="0.3">
      <c r="A279">
        <v>1278</v>
      </c>
      <c r="B279" s="4">
        <v>46084</v>
      </c>
      <c r="C279" t="s">
        <v>24</v>
      </c>
      <c r="D279" t="s">
        <v>17</v>
      </c>
      <c r="E279" t="s">
        <v>13</v>
      </c>
      <c r="F279">
        <v>5</v>
      </c>
      <c r="G279">
        <v>600</v>
      </c>
      <c r="H279">
        <v>3000</v>
      </c>
    </row>
    <row r="280" spans="1:8" x14ac:dyDescent="0.3">
      <c r="A280">
        <v>1279</v>
      </c>
      <c r="B280" s="4">
        <v>46023</v>
      </c>
      <c r="C280" t="s">
        <v>11</v>
      </c>
      <c r="D280" t="s">
        <v>12</v>
      </c>
      <c r="E280" t="s">
        <v>13</v>
      </c>
      <c r="F280">
        <v>4</v>
      </c>
      <c r="G280">
        <v>15000</v>
      </c>
      <c r="H280">
        <v>60000</v>
      </c>
    </row>
    <row r="281" spans="1:8" x14ac:dyDescent="0.3">
      <c r="A281">
        <v>1280</v>
      </c>
      <c r="B281" s="4">
        <v>46112</v>
      </c>
      <c r="C281" t="s">
        <v>16</v>
      </c>
      <c r="D281" t="s">
        <v>17</v>
      </c>
      <c r="E281" t="s">
        <v>20</v>
      </c>
      <c r="F281">
        <v>8</v>
      </c>
      <c r="G281">
        <v>1200</v>
      </c>
      <c r="H281">
        <v>9600</v>
      </c>
    </row>
    <row r="282" spans="1:8" x14ac:dyDescent="0.3">
      <c r="A282">
        <v>1281</v>
      </c>
      <c r="B282" s="4">
        <v>46093</v>
      </c>
      <c r="C282" t="s">
        <v>11</v>
      </c>
      <c r="D282" t="s">
        <v>12</v>
      </c>
      <c r="E282" t="s">
        <v>20</v>
      </c>
      <c r="F282">
        <v>7</v>
      </c>
      <c r="G282">
        <v>15000</v>
      </c>
      <c r="H282">
        <v>105000</v>
      </c>
    </row>
    <row r="283" spans="1:8" x14ac:dyDescent="0.3">
      <c r="A283">
        <v>1282</v>
      </c>
      <c r="B283" s="4">
        <v>46053</v>
      </c>
      <c r="C283" t="s">
        <v>21</v>
      </c>
      <c r="D283" t="s">
        <v>22</v>
      </c>
      <c r="E283" t="s">
        <v>13</v>
      </c>
      <c r="F283">
        <v>3</v>
      </c>
      <c r="G283">
        <v>4500</v>
      </c>
      <c r="H283">
        <v>13500</v>
      </c>
    </row>
    <row r="284" spans="1:8" x14ac:dyDescent="0.3">
      <c r="A284">
        <v>1283</v>
      </c>
      <c r="B284" s="4">
        <v>46160</v>
      </c>
      <c r="C284" t="s">
        <v>18</v>
      </c>
      <c r="D284" t="s">
        <v>12</v>
      </c>
      <c r="E284" t="s">
        <v>13</v>
      </c>
      <c r="F284">
        <v>2</v>
      </c>
      <c r="G284">
        <v>50000</v>
      </c>
      <c r="H284">
        <v>100000</v>
      </c>
    </row>
    <row r="285" spans="1:8" x14ac:dyDescent="0.3">
      <c r="A285">
        <v>1284</v>
      </c>
      <c r="B285" s="4">
        <v>46068</v>
      </c>
      <c r="C285" t="s">
        <v>18</v>
      </c>
      <c r="D285" t="s">
        <v>12</v>
      </c>
      <c r="E285" t="s">
        <v>13</v>
      </c>
      <c r="F285">
        <v>6</v>
      </c>
      <c r="G285">
        <v>50000</v>
      </c>
      <c r="H285">
        <v>300000</v>
      </c>
    </row>
    <row r="286" spans="1:8" x14ac:dyDescent="0.3">
      <c r="A286">
        <v>1285</v>
      </c>
      <c r="B286" s="4">
        <v>46025</v>
      </c>
      <c r="C286" t="s">
        <v>23</v>
      </c>
      <c r="D286" t="s">
        <v>9</v>
      </c>
      <c r="E286" t="s">
        <v>20</v>
      </c>
      <c r="F286">
        <v>1</v>
      </c>
      <c r="G286">
        <v>120</v>
      </c>
      <c r="H286">
        <v>120</v>
      </c>
    </row>
    <row r="287" spans="1:8" x14ac:dyDescent="0.3">
      <c r="A287">
        <v>1286</v>
      </c>
      <c r="B287" s="4">
        <v>46089</v>
      </c>
      <c r="C287" t="s">
        <v>18</v>
      </c>
      <c r="D287" t="s">
        <v>12</v>
      </c>
      <c r="E287" t="s">
        <v>13</v>
      </c>
      <c r="F287">
        <v>7</v>
      </c>
      <c r="G287">
        <v>50000</v>
      </c>
      <c r="H287">
        <v>350000</v>
      </c>
    </row>
    <row r="288" spans="1:8" x14ac:dyDescent="0.3">
      <c r="A288">
        <v>1287</v>
      </c>
      <c r="B288" s="4">
        <v>46053</v>
      </c>
      <c r="C288" t="s">
        <v>8</v>
      </c>
      <c r="D288" t="s">
        <v>9</v>
      </c>
      <c r="E288" t="s">
        <v>10</v>
      </c>
      <c r="F288">
        <v>2</v>
      </c>
      <c r="G288">
        <v>18000</v>
      </c>
      <c r="H288">
        <v>36000</v>
      </c>
    </row>
    <row r="289" spans="1:8" x14ac:dyDescent="0.3">
      <c r="A289">
        <v>1288</v>
      </c>
      <c r="B289" s="4">
        <v>46175</v>
      </c>
      <c r="C289" t="s">
        <v>23</v>
      </c>
      <c r="D289" t="s">
        <v>9</v>
      </c>
      <c r="E289" t="s">
        <v>20</v>
      </c>
      <c r="F289">
        <v>3</v>
      </c>
      <c r="G289">
        <v>120</v>
      </c>
      <c r="H289">
        <v>360</v>
      </c>
    </row>
    <row r="290" spans="1:8" x14ac:dyDescent="0.3">
      <c r="A290">
        <v>1289</v>
      </c>
      <c r="B290" s="4">
        <v>46023</v>
      </c>
      <c r="C290" t="s">
        <v>16</v>
      </c>
      <c r="D290" t="s">
        <v>17</v>
      </c>
      <c r="E290" t="s">
        <v>10</v>
      </c>
      <c r="F290">
        <v>5</v>
      </c>
      <c r="G290">
        <v>1200</v>
      </c>
      <c r="H290">
        <v>6000</v>
      </c>
    </row>
    <row r="291" spans="1:8" x14ac:dyDescent="0.3">
      <c r="A291">
        <v>1290</v>
      </c>
      <c r="B291" s="4">
        <v>46040</v>
      </c>
      <c r="C291" t="s">
        <v>11</v>
      </c>
      <c r="D291" t="s">
        <v>12</v>
      </c>
      <c r="E291" t="s">
        <v>13</v>
      </c>
      <c r="F291">
        <v>5</v>
      </c>
      <c r="G291">
        <v>15000</v>
      </c>
      <c r="H291">
        <v>75000</v>
      </c>
    </row>
    <row r="292" spans="1:8" x14ac:dyDescent="0.3">
      <c r="A292">
        <v>1291</v>
      </c>
      <c r="B292" s="4">
        <v>46054</v>
      </c>
      <c r="C292" t="s">
        <v>18</v>
      </c>
      <c r="D292" t="s">
        <v>12</v>
      </c>
      <c r="E292" t="s">
        <v>13</v>
      </c>
      <c r="F292">
        <v>3</v>
      </c>
      <c r="G292">
        <v>50000</v>
      </c>
      <c r="H292">
        <v>150000</v>
      </c>
    </row>
    <row r="293" spans="1:8" x14ac:dyDescent="0.3">
      <c r="A293">
        <v>1292</v>
      </c>
      <c r="B293" s="4">
        <v>46046</v>
      </c>
      <c r="C293" t="s">
        <v>18</v>
      </c>
      <c r="D293" t="s">
        <v>12</v>
      </c>
      <c r="E293" t="s">
        <v>15</v>
      </c>
      <c r="F293">
        <v>6</v>
      </c>
      <c r="G293">
        <v>50000</v>
      </c>
      <c r="H293">
        <v>300000</v>
      </c>
    </row>
    <row r="294" spans="1:8" x14ac:dyDescent="0.3">
      <c r="A294">
        <v>1293</v>
      </c>
      <c r="B294" s="4">
        <v>46051</v>
      </c>
      <c r="C294" t="s">
        <v>8</v>
      </c>
      <c r="D294" t="s">
        <v>9</v>
      </c>
      <c r="E294" t="s">
        <v>10</v>
      </c>
      <c r="F294">
        <v>8</v>
      </c>
      <c r="G294">
        <v>18000</v>
      </c>
      <c r="H294">
        <v>144000</v>
      </c>
    </row>
    <row r="295" spans="1:8" x14ac:dyDescent="0.3">
      <c r="A295">
        <v>1294</v>
      </c>
      <c r="B295" s="4">
        <v>46201</v>
      </c>
      <c r="C295" t="s">
        <v>8</v>
      </c>
      <c r="D295" t="s">
        <v>9</v>
      </c>
      <c r="E295" t="s">
        <v>13</v>
      </c>
      <c r="F295">
        <v>5</v>
      </c>
      <c r="G295">
        <v>18000</v>
      </c>
      <c r="H295">
        <v>90000</v>
      </c>
    </row>
    <row r="296" spans="1:8" x14ac:dyDescent="0.3">
      <c r="A296">
        <v>1295</v>
      </c>
      <c r="B296" s="4">
        <v>46179</v>
      </c>
      <c r="C296" t="s">
        <v>11</v>
      </c>
      <c r="D296" t="s">
        <v>12</v>
      </c>
      <c r="E296" t="s">
        <v>10</v>
      </c>
      <c r="F296">
        <v>1</v>
      </c>
      <c r="G296">
        <v>15000</v>
      </c>
      <c r="H296">
        <v>15000</v>
      </c>
    </row>
    <row r="297" spans="1:8" x14ac:dyDescent="0.3">
      <c r="A297">
        <v>1296</v>
      </c>
      <c r="B297" s="4">
        <v>46056</v>
      </c>
      <c r="C297" t="s">
        <v>18</v>
      </c>
      <c r="D297" t="s">
        <v>12</v>
      </c>
      <c r="E297" t="s">
        <v>20</v>
      </c>
      <c r="F297">
        <v>5</v>
      </c>
      <c r="G297">
        <v>50000</v>
      </c>
      <c r="H297">
        <v>250000</v>
      </c>
    </row>
    <row r="298" spans="1:8" x14ac:dyDescent="0.3">
      <c r="A298">
        <v>1297</v>
      </c>
      <c r="B298" s="4">
        <v>46072</v>
      </c>
      <c r="C298" t="s">
        <v>19</v>
      </c>
      <c r="D298" t="s">
        <v>12</v>
      </c>
      <c r="E298" t="s">
        <v>15</v>
      </c>
      <c r="F298">
        <v>3</v>
      </c>
      <c r="G298">
        <v>3200</v>
      </c>
      <c r="H298">
        <v>9600</v>
      </c>
    </row>
    <row r="299" spans="1:8" x14ac:dyDescent="0.3">
      <c r="A299">
        <v>1298</v>
      </c>
      <c r="B299" s="4">
        <v>46034</v>
      </c>
      <c r="C299" t="s">
        <v>8</v>
      </c>
      <c r="D299" t="s">
        <v>9</v>
      </c>
      <c r="E299" t="s">
        <v>15</v>
      </c>
      <c r="F299">
        <v>7</v>
      </c>
      <c r="G299">
        <v>18000</v>
      </c>
      <c r="H299">
        <v>126000</v>
      </c>
    </row>
    <row r="300" spans="1:8" x14ac:dyDescent="0.3">
      <c r="A300">
        <v>1299</v>
      </c>
      <c r="B300" s="4">
        <v>46169</v>
      </c>
      <c r="C300" t="s">
        <v>16</v>
      </c>
      <c r="D300" t="s">
        <v>17</v>
      </c>
      <c r="E300" t="s">
        <v>20</v>
      </c>
      <c r="F300">
        <v>8</v>
      </c>
      <c r="G300">
        <v>1200</v>
      </c>
      <c r="H300">
        <v>9600</v>
      </c>
    </row>
    <row r="301" spans="1:8" x14ac:dyDescent="0.3">
      <c r="A301">
        <v>1300</v>
      </c>
      <c r="B301" s="4">
        <v>46036</v>
      </c>
      <c r="C301" t="s">
        <v>8</v>
      </c>
      <c r="D301" t="s">
        <v>9</v>
      </c>
      <c r="E301" t="s">
        <v>13</v>
      </c>
      <c r="F301">
        <v>3</v>
      </c>
      <c r="G301">
        <v>18000</v>
      </c>
      <c r="H301">
        <v>54000</v>
      </c>
    </row>
  </sheetData>
  <pageMargins left="0.75" right="0.75" top="1" bottom="1" header="0.5" footer="0.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0A90-B23C-478B-9423-F378772EBEC4}">
  <dimension ref="A1:O4"/>
  <sheetViews>
    <sheetView showGridLines="0" tabSelected="1" zoomScale="89" zoomScaleNormal="89" workbookViewId="0">
      <selection activeCell="Q4" sqref="Q4"/>
    </sheetView>
  </sheetViews>
  <sheetFormatPr defaultRowHeight="14.4" x14ac:dyDescent="0.3"/>
  <cols>
    <col min="3" max="3" width="11.44140625" customWidth="1"/>
  </cols>
  <sheetData>
    <row r="1" spans="1:15" ht="28.8" x14ac:dyDescent="0.55000000000000004">
      <c r="A1" s="6" t="s">
        <v>37</v>
      </c>
      <c r="B1" s="7"/>
      <c r="C1" s="7"/>
      <c r="D1" s="7"/>
      <c r="E1" s="7"/>
      <c r="F1" s="7"/>
      <c r="G1" s="7"/>
      <c r="H1" s="7"/>
      <c r="I1" s="7"/>
      <c r="J1" s="7"/>
      <c r="K1" s="7"/>
      <c r="L1" s="7"/>
      <c r="M1" s="7"/>
      <c r="N1" s="7"/>
      <c r="O1" s="7"/>
    </row>
    <row r="3" spans="1:15" x14ac:dyDescent="0.3">
      <c r="A3" s="8" t="s">
        <v>38</v>
      </c>
      <c r="B3" s="9"/>
      <c r="C3" s="10"/>
      <c r="E3" s="8" t="s">
        <v>39</v>
      </c>
      <c r="F3" s="9"/>
      <c r="G3" s="10"/>
      <c r="I3" s="8" t="s">
        <v>40</v>
      </c>
      <c r="J3" s="9"/>
      <c r="K3" s="10"/>
      <c r="M3" s="8" t="s">
        <v>41</v>
      </c>
      <c r="N3" s="9"/>
      <c r="O3" s="10"/>
    </row>
    <row r="4" spans="1:15" ht="25.8" x14ac:dyDescent="0.5">
      <c r="A4" s="14">
        <f>SUM(Sales_Data!H:H)</f>
        <v>14249100</v>
      </c>
      <c r="B4" s="15"/>
      <c r="C4" s="16"/>
      <c r="E4" s="11">
        <f>COUNTA(Sales_Data!A:A)-1</f>
        <v>300</v>
      </c>
      <c r="F4" s="12"/>
      <c r="G4" s="13"/>
      <c r="I4" s="11">
        <f>SUM(Sales_Data!F:F)</f>
        <v>1305</v>
      </c>
      <c r="J4" s="12"/>
      <c r="K4" s="13"/>
      <c r="M4" s="14">
        <f>A4/E4</f>
        <v>47497</v>
      </c>
      <c r="N4" s="15"/>
      <c r="O4" s="16"/>
    </row>
  </sheetData>
  <mergeCells count="9">
    <mergeCell ref="A1:O1"/>
    <mergeCell ref="A3:C3"/>
    <mergeCell ref="E3:G3"/>
    <mergeCell ref="I3:K3"/>
    <mergeCell ref="M3:O3"/>
    <mergeCell ref="A4:C4"/>
    <mergeCell ref="E4:G4"/>
    <mergeCell ref="I4:K4"/>
    <mergeCell ref="M4: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Priyanshi Dash</cp:lastModifiedBy>
  <dcterms:created xsi:type="dcterms:W3CDTF">2026-07-03T04:21:42Z</dcterms:created>
  <dcterms:modified xsi:type="dcterms:W3CDTF">2026-07-03T12:23:10Z</dcterms:modified>
</cp:coreProperties>
</file>